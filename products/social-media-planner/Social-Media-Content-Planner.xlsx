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Setup" sheetId="2" state="visible" r:id="rId4"/>
    <sheet name="Content Log" sheetId="3" state="visible" r:id="rId5"/>
    <sheet name="Monthly Calendar" sheetId="4" state="visible" r:id="rId6"/>
    <sheet name="Weekly View" sheetId="5" state="visible" r:id="rId7"/>
    <sheet name="Dashboard" sheetId="6" state="visible" r:id="rId8"/>
    <sheet name="Growth Tracker" sheetId="7" state="visible" r:id="rId9"/>
    <sheet name="Ideas Bank" sheetId="8" state="visible" r:id="rId10"/>
    <sheet name="Hashtag Bank" sheetId="9" state="visible" r:id="rId11"/>
  </sheets>
  <definedNames>
    <definedName function="false" hidden="true" localSheetId="2" name="_xlnm._FilterDatabase" vbProcedure="false">'Content Log'!$A$4:$AB$504</definedName>
    <definedName function="false" hidden="false" localSheetId="5" name="_xlnm.Print_Area" vbProcedure="false">Dashboard!$A$1:$Z$62</definedName>
    <definedName function="false" hidden="true" localSheetId="7" name="_xlnm._FilterDatabase" vbProcedure="false">'Ideas Bank'!$B$4:$J$204</definedName>
    <definedName function="false" hidden="false" localSheetId="3" name="_xlnm.Print_Area" vbProcedure="false">'Monthly Calendar'!$A$1:$H$37</definedName>
    <definedName function="false" hidden="false" name="Pillars" vbProcedure="false">Setup!$G$9:$G$16</definedName>
    <definedName function="false" hidden="false" name="Platforms" vbProcedure="false">Setup!$B$9:$B$18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Tip: Data ▸ Sort by Date to keep the log tidy. The calendar orders posts by date + time automatically.</t>
        </r>
      </text>
    </comment>
    <comment ref="AA4" authorId="0">
      <text>
        <r>
          <rPr>
            <sz val="10"/>
            <rFont val="Arial"/>
            <family val="2"/>
          </rPr>
          <t xml:space="preserve">Engagements ÷ Reach. Engagements = likes + comments + shares + saves (clicks tracked separately).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Shows the current week by default. Type any date to jump to that week; type =TODAY() to go back.</t>
        </r>
      </text>
    </comment>
  </commentList>
</comments>
</file>

<file path=xl/sharedStrings.xml><?xml version="1.0" encoding="utf-8"?>
<sst xmlns="http://schemas.openxmlformats.org/spreadsheetml/2006/main" count="557" uniqueCount="319">
  <si>
    <t xml:space="preserve">✨  Social Media Content Planner</t>
  </si>
  <si>
    <t xml:space="preserve">Plan once. The calendar, weekly view and dashboard fill themselves.</t>
  </si>
  <si>
    <t xml:space="preserve">QUICK START</t>
  </si>
  <si>
    <t xml:space="preserve">Set up your brand  →  Setup tab</t>
  </si>
  <si>
    <t xml:space="preserve">Add your platforms (with handles, monthly post goals and caption/hashtag limits), your content pillars with a target mix, post formats and team members. These power every dropdown and goal in the planner.</t>
  </si>
  <si>
    <t xml:space="preserve">Plan your posts  →  Content Log tab</t>
  </si>
  <si>
    <t xml:space="preserve">One row per post: date, time, platform, format, pillar, hook, caption, hashtag set and status. Delete the sample rows first. ⚠ Flags warn you about overdue posts, captions over the platform limit and too many hashtags.</t>
  </si>
  <si>
    <t xml:space="preserve">See it &amp; improve it  →  Calendar, Weekly View, Dashboard</t>
  </si>
  <si>
    <t xml:space="preserve">The Monthly Calendar and Weekly View build themselves. After posting, add reach, likes, comments, shares, saves and clicks to the log — the Dashboard shows what's working by platform, pillar, format and weekday, plus your top posts.</t>
  </si>
  <si>
    <t xml:space="preserve">WHAT'S IN THIS PLANNER</t>
  </si>
  <si>
    <t xml:space="preserve">Setup</t>
  </si>
  <si>
    <t xml:space="preserve">Platforms, pillars, formats, team, week start</t>
  </si>
  <si>
    <t xml:space="preserve">Content Log</t>
  </si>
  <si>
    <t xml:space="preserve">The one place you enter posts + results</t>
  </si>
  <si>
    <t xml:space="preserve">Monthly Calendar</t>
  </si>
  <si>
    <t xml:space="preserve">Auto-filled month grid, status icons, overdue count</t>
  </si>
  <si>
    <t xml:space="preserve">Weekly View</t>
  </si>
  <si>
    <t xml:space="preserve">Any week at a glance, up to 8 posts/day</t>
  </si>
  <si>
    <t xml:space="preserve">Dashboard</t>
  </si>
  <si>
    <t xml:space="preserve">KPIs, platform goals, pillar balance, best day, top 5 posts, charts</t>
  </si>
  <si>
    <t xml:space="preserve">Growth Tracker</t>
  </si>
  <si>
    <t xml:space="preserve">Monthly followers per platform → growth + chart</t>
  </si>
  <si>
    <t xml:space="preserve">Ideas Bank</t>
  </si>
  <si>
    <t xml:space="preserve">Capture &amp; prioritise ideas</t>
  </si>
  <si>
    <t xml:space="preserve">Hashtag Bank</t>
  </si>
  <si>
    <t xml:space="preserve">Reusable, counted hashtag sets</t>
  </si>
  <si>
    <t xml:space="preserve">COLOUR KEY</t>
  </si>
  <si>
    <t xml:space="preserve">Type here</t>
  </si>
  <si>
    <t xml:space="preserve">Cream cells are inputs — yours to edit.</t>
  </si>
  <si>
    <t xml:space="preserve">Automatic</t>
  </si>
  <si>
    <t xml:space="preserve">White cells and grey headers are formulas — leave them be.</t>
  </si>
  <si>
    <t xml:space="preserve">Status icons</t>
  </si>
  <si>
    <t xml:space="preserve">💡 Idea   ✏️ Drafting   👀 In Review   🕒 Scheduled   ✅ Published   ♻️ Repurpose</t>
  </si>
  <si>
    <t xml:space="preserve">GOOD TO KNOW</t>
  </si>
  <si>
    <t xml:space="preserve">• Works in Microsoft Excel and Google Sheets (File ▸ Import ▸ Upload in Sheets).</t>
  </si>
  <si>
    <t xml:space="preserve">• Engagement rate = (likes + comments + shares + saves) ÷ reach.</t>
  </si>
  <si>
    <t xml:space="preserve">• Need more than 3 posts on a day? The calendar shows '+N more' — open the Weekly View for all of them.</t>
  </si>
  <si>
    <t xml:space="preserve">• Room for 500 posts, 10 platforms, 8 pillars, 14 formats. Keep adding rows inside the cream area.</t>
  </si>
  <si>
    <t xml:space="preserve">• Sorting the Content Log: select the whole table (incl. headers) and sort by Date.</t>
  </si>
  <si>
    <t xml:space="preserve">⚙️  Setup</t>
  </si>
  <si>
    <t xml:space="preserve">Everything here feeds the dropdowns, goals and checks across the planner. Cream cells are yours to edit.</t>
  </si>
  <si>
    <t xml:space="preserve">Brand / account</t>
  </si>
  <si>
    <t xml:space="preserve">Your Brand Co.</t>
  </si>
  <si>
    <t xml:space="preserve">Week starts on</t>
  </si>
  <si>
    <t xml:space="preserve">Sunday</t>
  </si>
  <si>
    <t xml:space="preserve">Platform</t>
  </si>
  <si>
    <t xml:space="preserve">Handle</t>
  </si>
  <si>
    <t xml:space="preserve">Monthly post goal</t>
  </si>
  <si>
    <t xml:space="preserve">Caption limit (chars)</t>
  </si>
  <si>
    <t xml:space="preserve">Hashtag limit</t>
  </si>
  <si>
    <t xml:space="preserve">Content pillar</t>
  </si>
  <si>
    <t xml:space="preserve">What it covers</t>
  </si>
  <si>
    <t xml:space="preserve">Target mix</t>
  </si>
  <si>
    <t xml:space="preserve">Post format</t>
  </si>
  <si>
    <t xml:space="preserve">Status</t>
  </si>
  <si>
    <t xml:space="preserve">Icon</t>
  </si>
  <si>
    <t xml:space="preserve">Team / owner</t>
  </si>
  <si>
    <t xml:space="preserve">Months</t>
  </si>
  <si>
    <t xml:space="preserve">Instagram</t>
  </si>
  <si>
    <t xml:space="preserve">@yourbrand</t>
  </si>
  <si>
    <t xml:space="preserve">Educate</t>
  </si>
  <si>
    <t xml:space="preserve">Tips, how-tos, tutorials, myth-busting</t>
  </si>
  <si>
    <t xml:space="preserve">Reel / Short video</t>
  </si>
  <si>
    <t xml:space="preserve">Idea</t>
  </si>
  <si>
    <t xml:space="preserve">💡</t>
  </si>
  <si>
    <t xml:space="preserve">Me</t>
  </si>
  <si>
    <t xml:space="preserve">January</t>
  </si>
  <si>
    <t xml:space="preserve">TikTok</t>
  </si>
  <si>
    <t xml:space="preserve">Inspire</t>
  </si>
  <si>
    <t xml:space="preserve">Results, stories, transformations, quotes</t>
  </si>
  <si>
    <t xml:space="preserve">Carousel</t>
  </si>
  <si>
    <t xml:space="preserve">Drafting</t>
  </si>
  <si>
    <t xml:space="preserve">✏️</t>
  </si>
  <si>
    <t xml:space="preserve">Designer</t>
  </si>
  <si>
    <t xml:space="preserve">February</t>
  </si>
  <si>
    <t xml:space="preserve">YouTube</t>
  </si>
  <si>
    <t xml:space="preserve">Entertain</t>
  </si>
  <si>
    <t xml:space="preserve">Trends, humour, behind-the-scenes</t>
  </si>
  <si>
    <t xml:space="preserve">Single image</t>
  </si>
  <si>
    <t xml:space="preserve">In Review</t>
  </si>
  <si>
    <t xml:space="preserve">👀</t>
  </si>
  <si>
    <t xml:space="preserve">Video editor</t>
  </si>
  <si>
    <t xml:space="preserve">March</t>
  </si>
  <si>
    <t xml:space="preserve">LinkedIn</t>
  </si>
  <si>
    <t xml:space="preserve">/company/yourbrand</t>
  </si>
  <si>
    <t xml:space="preserve">Promote</t>
  </si>
  <si>
    <t xml:space="preserve">Offers, launches, product features</t>
  </si>
  <si>
    <t xml:space="preserve">Story</t>
  </si>
  <si>
    <t xml:space="preserve">Scheduled</t>
  </si>
  <si>
    <t xml:space="preserve">🕒</t>
  </si>
  <si>
    <t xml:space="preserve">VA</t>
  </si>
  <si>
    <t xml:space="preserve">April</t>
  </si>
  <si>
    <t xml:space="preserve">Facebook</t>
  </si>
  <si>
    <t xml:space="preserve">/yourbrand</t>
  </si>
  <si>
    <t xml:space="preserve">Community</t>
  </si>
  <si>
    <t xml:space="preserve">UGC, Q&amp;A, polls, shout-outs</t>
  </si>
  <si>
    <t xml:space="preserve">Long-form video</t>
  </si>
  <si>
    <t xml:space="preserve">Published</t>
  </si>
  <si>
    <t xml:space="preserve">✅</t>
  </si>
  <si>
    <t xml:space="preserve">May</t>
  </si>
  <si>
    <t xml:space="preserve">Pinterest</t>
  </si>
  <si>
    <t xml:space="preserve">Live</t>
  </si>
  <si>
    <t xml:space="preserve">Repurpose</t>
  </si>
  <si>
    <t xml:space="preserve">♻️</t>
  </si>
  <si>
    <t xml:space="preserve">June</t>
  </si>
  <si>
    <t xml:space="preserve">X / Twitter</t>
  </si>
  <si>
    <t xml:space="preserve">Text post</t>
  </si>
  <si>
    <t xml:space="preserve">Fixed list — used by formulas</t>
  </si>
  <si>
    <t xml:space="preserve">July</t>
  </si>
  <si>
    <t xml:space="preserve">Threads</t>
  </si>
  <si>
    <t xml:space="preserve">Thread</t>
  </si>
  <si>
    <t xml:space="preserve">August</t>
  </si>
  <si>
    <t xml:space="preserve">Total (aim for 100%)</t>
  </si>
  <si>
    <t xml:space="preserve">Pin</t>
  </si>
  <si>
    <t xml:space="preserve">September</t>
  </si>
  <si>
    <t xml:space="preserve">Poll</t>
  </si>
  <si>
    <t xml:space="preserve">October</t>
  </si>
  <si>
    <t xml:space="preserve">Article / Blog</t>
  </si>
  <si>
    <t xml:space="preserve">November</t>
  </si>
  <si>
    <t xml:space="preserve">Newsletter</t>
  </si>
  <si>
    <t xml:space="preserve">December</t>
  </si>
  <si>
    <t xml:space="preserve">Tips: add up to 10 platforms, 8 pillars, 14 formats and 8 team members — new entries appear in every dropdown, the Dashboard and the Growth Tracker automatically. Caption &amp; hashtag limits drive the ✂ and # warnings in the Content Log.</t>
  </si>
  <si>
    <t xml:space="preserve">Full Year</t>
  </si>
  <si>
    <t xml:space="preserve">📝  Content Log</t>
  </si>
  <si>
    <t xml:space="preserve">One row per post. Enter it here once — the Calendar, Weekly View and Dashboard fill themselves. Cream = you type · white = automatic.</t>
  </si>
  <si>
    <t xml:space="preserve">PLAN &amp; CREATE</t>
  </si>
  <si>
    <t xml:space="preserve">RESULTS  (fill in after posting — Eng. rate = engagements ÷ reach)</t>
  </si>
  <si>
    <t xml:space="preserve">Helper columns — automatic, please don't edit</t>
  </si>
  <si>
    <t xml:space="preserve">Date</t>
  </si>
  <si>
    <t xml:space="preserve">Day</t>
  </si>
  <si>
    <t xml:space="preserve">Time</t>
  </si>
  <si>
    <t xml:space="preserve">Format</t>
  </si>
  <si>
    <t xml:space="preserve">Pillar</t>
  </si>
  <si>
    <t xml:space="preserve">Campaign</t>
  </si>
  <si>
    <t xml:space="preserve">Hook / Title</t>
  </si>
  <si>
    <t xml:space="preserve">Caption</t>
  </si>
  <si>
    <t xml:space="preserve">Chars</t>
  </si>
  <si>
    <t xml:space="preserve">Call to action</t>
  </si>
  <si>
    <t xml:space="preserve">Hashtag set</t>
  </si>
  <si>
    <t xml:space="preserve"># Tags</t>
  </si>
  <si>
    <t xml:space="preserve">Asset link</t>
  </si>
  <si>
    <t xml:space="preserve">Owner</t>
  </si>
  <si>
    <t xml:space="preserve">⚠ Flags</t>
  </si>
  <si>
    <t xml:space="preserve">Post URL</t>
  </si>
  <si>
    <t xml:space="preserve">Impressions</t>
  </si>
  <si>
    <t xml:space="preserve">Reach</t>
  </si>
  <si>
    <t xml:space="preserve">Likes</t>
  </si>
  <si>
    <t xml:space="preserve">Comments</t>
  </si>
  <si>
    <t xml:space="preserve">Shares</t>
  </si>
  <si>
    <t xml:space="preserve">Saves</t>
  </si>
  <si>
    <t xml:space="preserve">Clicks</t>
  </si>
  <si>
    <t xml:space="preserve">Engagements</t>
  </si>
  <si>
    <t xml:space="preserve">Eng. rate</t>
  </si>
  <si>
    <t xml:space="preserve">Notes</t>
  </si>
  <si>
    <t xml:space="preserve">helper: sort key</t>
  </si>
  <si>
    <t xml:space="preserve">helper: day slot</t>
  </si>
  <si>
    <t xml:space="preserve">helper: calendar label</t>
  </si>
  <si>
    <t xml:space="preserve">helper: top-post score</t>
  </si>
  <si>
    <t xml:space="preserve">helper: weekday</t>
  </si>
  <si>
    <t xml:space="preserve">Evergreen</t>
  </si>
  <si>
    <t xml:space="preserve">5 mistakes killing your reach</t>
  </si>
  <si>
    <t xml:space="preserve">Swipe → the 5 mistakes we see every week (and the fix for each).</t>
  </si>
  <si>
    <t xml:space="preserve">Save for later</t>
  </si>
  <si>
    <t xml:space="preserve">IG – Growth tips</t>
  </si>
  <si>
    <t xml:space="preserve">SAMPLE ROW — delete sample rows before you start</t>
  </si>
  <si>
    <t xml:space="preserve">POV: it's launch day</t>
  </si>
  <si>
    <t xml:space="preserve">POV: it's launch day and the link is broken 😅</t>
  </si>
  <si>
    <t xml:space="preserve">Follow for part 2</t>
  </si>
  <si>
    <t xml:space="preserve">TikTok – Trends</t>
  </si>
  <si>
    <t xml:space="preserve">Founder story</t>
  </si>
  <si>
    <t xml:space="preserve">What 3 years of posting taught me</t>
  </si>
  <si>
    <t xml:space="preserve">Three years, 700 posts, one lesson: consistency beats virality.</t>
  </si>
  <si>
    <t xml:space="preserve">Comment your #1 lesson</t>
  </si>
  <si>
    <t xml:space="preserve">LI – Professional</t>
  </si>
  <si>
    <t xml:space="preserve">Content calendar template</t>
  </si>
  <si>
    <t xml:space="preserve">Free content calendar template — plan a month in an hour.</t>
  </si>
  <si>
    <t xml:space="preserve">Download now</t>
  </si>
  <si>
    <t xml:space="preserve">Pinterest – SEO</t>
  </si>
  <si>
    <t xml:space="preserve">Fall Launch</t>
  </si>
  <si>
    <t xml:space="preserve">Sneak peek: something new</t>
  </si>
  <si>
    <t xml:space="preserve">Something new drops Oct 15 👀 Turn on notifications.</t>
  </si>
  <si>
    <t xml:space="preserve">Turn on notifications</t>
  </si>
  <si>
    <t xml:space="preserve">IG – Launch</t>
  </si>
  <si>
    <t xml:space="preserve">Ask me anything Friday</t>
  </si>
  <si>
    <t xml:space="preserve">AMA: content strategy, tools, burnout. Go 👇</t>
  </si>
  <si>
    <t xml:space="preserve">Reply below</t>
  </si>
  <si>
    <t xml:space="preserve">Customer spotlight: Maya</t>
  </si>
  <si>
    <t xml:space="preserve">Meet Maya, who grew her shop 3x in 6 months using batching.</t>
  </si>
  <si>
    <t xml:space="preserve">Share your story</t>
  </si>
  <si>
    <t xml:space="preserve">How I batch 30 posts in a day</t>
  </si>
  <si>
    <t xml:space="preserve">Full walkthrough of my batching system + free template.</t>
  </si>
  <si>
    <t xml:space="preserve">Subscribe</t>
  </si>
  <si>
    <t xml:space="preserve">YT – Tutorials</t>
  </si>
  <si>
    <t xml:space="preserve">Trend: 'tell me without telling me'</t>
  </si>
  <si>
    <t xml:space="preserve">Tell me you're a content creator without telling me…</t>
  </si>
  <si>
    <t xml:space="preserve">Duet this</t>
  </si>
  <si>
    <t xml:space="preserve">Poll: which colourway?</t>
  </si>
  <si>
    <t xml:space="preserve">Poll: sage or blush for the new planner?</t>
  </si>
  <si>
    <t xml:space="preserve">Vote</t>
  </si>
  <si>
    <t xml:space="preserve">The 4-pillar content framework</t>
  </si>
  <si>
    <t xml:space="preserve">Educate, Inspire, Entertain, Promote — here's the mix that works.</t>
  </si>
  <si>
    <t xml:space="preserve">Repost if useful</t>
  </si>
  <si>
    <t xml:space="preserve">Thread: my posting workflow</t>
  </si>
  <si>
    <t xml:space="preserve">A thread on exactly how I plan, batch, schedule and review a full month of content across six platforms without losing my mind — including the spreadsheet I use, the review cadence, and the three metrics I actually look at every Friday afternoon to decide what to make more of next month.</t>
  </si>
  <si>
    <t xml:space="preserve">Follow for more</t>
  </si>
  <si>
    <t xml:space="preserve">X – Short</t>
  </si>
  <si>
    <t xml:space="preserve">Cozy fall desk setup</t>
  </si>
  <si>
    <t xml:space="preserve">Cozy fall desk setup for focused planning days 🍂</t>
  </si>
  <si>
    <t xml:space="preserve">Save this pin</t>
  </si>
  <si>
    <t xml:space="preserve">Day in the life of a planner shop</t>
  </si>
  <si>
    <t xml:space="preserve">Follow</t>
  </si>
  <si>
    <t xml:space="preserve">How to plan Q4 content</t>
  </si>
  <si>
    <t xml:space="preserve">Save for Q4</t>
  </si>
  <si>
    <t xml:space="preserve">Countdown: 2 days</t>
  </si>
  <si>
    <t xml:space="preserve">Link in bio</t>
  </si>
  <si>
    <t xml:space="preserve">LAUNCH DAY 🎉</t>
  </si>
  <si>
    <t xml:space="preserve">It's here! The planner that fills itself in.</t>
  </si>
  <si>
    <t xml:space="preserve">Shop now — link in bio</t>
  </si>
  <si>
    <t xml:space="preserve">Launch announcement</t>
  </si>
  <si>
    <t xml:space="preserve">Shop now</t>
  </si>
  <si>
    <t xml:space="preserve">Why we built this</t>
  </si>
  <si>
    <t xml:space="preserve">Read the story</t>
  </si>
  <si>
    <t xml:space="preserve">We're live!</t>
  </si>
  <si>
    <t xml:space="preserve">Q4 content strategy masterclass</t>
  </si>
  <si>
    <t xml:space="preserve">Hashtag cheat sheet</t>
  </si>
  <si>
    <t xml:space="preserve">Save</t>
  </si>
  <si>
    <t xml:space="preserve">Your best fall content (UGC)</t>
  </si>
  <si>
    <t xml:space="preserve">Tag us</t>
  </si>
  <si>
    <t xml:space="preserve">Halloween</t>
  </si>
  <si>
    <t xml:space="preserve">Spooky planner tour</t>
  </si>
  <si>
    <t xml:space="preserve">🗓️  Monthly Calendar</t>
  </si>
  <si>
    <t xml:space="preserve">Pick a month and year — the grid fills itself from the Content Log (first 3 posts per day, ordered by time).</t>
  </si>
  <si>
    <t xml:space="preserve">Month</t>
  </si>
  <si>
    <t xml:space="preserve">Year</t>
  </si>
  <si>
    <t xml:space="preserve">month #</t>
  </si>
  <si>
    <t xml:space="preserve">1st of month</t>
  </si>
  <si>
    <t xml:space="preserve">grid start</t>
  </si>
  <si>
    <t xml:space="preserve">month end</t>
  </si>
  <si>
    <t xml:space="preserve">Status key:  💡 Idea   ✏️ Drafting   👀 In Review   🕒 Scheduled   ✅ Published   ♻️ Repurpose</t>
  </si>
  <si>
    <t xml:space="preserve">📆  Weekly View</t>
  </si>
  <si>
    <t xml:space="preserve">Type any date — see that whole week, up to 8 posts a day, ordered by time.</t>
  </si>
  <si>
    <t xml:space="preserve">Any date in the week</t>
  </si>
  <si>
    <t xml:space="preserve">week start</t>
  </si>
  <si>
    <t xml:space="preserve">📊  Dashboard</t>
  </si>
  <si>
    <t xml:space="preserve">Pick a month (or Full Year). Everything below — and the charts — updates from the Content Log.</t>
  </si>
  <si>
    <t xml:space="preserve">Period</t>
  </si>
  <si>
    <t xml:space="preserve">From</t>
  </si>
  <si>
    <t xml:space="preserve">To</t>
  </si>
  <si>
    <t xml:space="preserve">← goal multiplier (months)</t>
  </si>
  <si>
    <t xml:space="preserve">POSTS PLANNED</t>
  </si>
  <si>
    <t xml:space="preserve">PUBLISHED</t>
  </si>
  <si>
    <t xml:space="preserve">SCHEDULED</t>
  </si>
  <si>
    <t xml:space="preserve">IN PROGRESS</t>
  </si>
  <si>
    <t xml:space="preserve">OVERDUE</t>
  </si>
  <si>
    <t xml:space="preserve">REACH</t>
  </si>
  <si>
    <t xml:space="preserve">ENGAGEMENTS</t>
  </si>
  <si>
    <t xml:space="preserve">AVG ENG. RATE</t>
  </si>
  <si>
    <t xml:space="preserve">in this period</t>
  </si>
  <si>
    <t xml:space="preserve">queued &amp; ready</t>
  </si>
  <si>
    <t xml:space="preserve">idea · drafting · review</t>
  </si>
  <si>
    <t xml:space="preserve">past date, not published</t>
  </si>
  <si>
    <t xml:space="preserve">likes+comments+shares+saves</t>
  </si>
  <si>
    <t xml:space="preserve">By platform</t>
  </si>
  <si>
    <t xml:space="preserve">Pillar mix vs. target</t>
  </si>
  <si>
    <t xml:space="preserve">Posts</t>
  </si>
  <si>
    <t xml:space="preserve">Goal</t>
  </si>
  <si>
    <t xml:space="preserve">% of goal</t>
  </si>
  <si>
    <t xml:space="preserve">Actual mix</t>
  </si>
  <si>
    <t xml:space="preserve">Target</t>
  </si>
  <si>
    <t xml:space="preserve">Gap</t>
  </si>
  <si>
    <t xml:space="preserve">Red gap = under-posting that pillar; amber = over-posting.</t>
  </si>
  <si>
    <t xml:space="preserve">By format</t>
  </si>
  <si>
    <t xml:space="preserve">Best day to post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</si>
  <si>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</si>
  <si>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</si>
  <si>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</si>
  <si>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</si>
  <si>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</si>
  <si>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Saturday</t>
  </si>
  <si>
    <t xml:space="preserve">Top 5 posts by engagement rate</t>
  </si>
  <si>
    <t xml:space="preserve">#</t>
  </si>
  <si>
    <t xml:space="preserve">📈  Growth Tracker</t>
  </si>
  <si>
    <t xml:space="preserve">Log follower counts once a month (e.g. on the 1st). Growth and the chart are automatic. Platforms come from Setup.</t>
  </si>
  <si>
    <t xml:space="preserve">Followers (enter on the 1st of each month)</t>
  </si>
  <si>
    <t xml:space="preserve">Total</t>
  </si>
  <si>
    <t xml:space="preserve">Net new followers</t>
  </si>
  <si>
    <t xml:space="preserve">Growth %</t>
  </si>
  <si>
    <t xml:space="preserve">💡  Ideas Bank</t>
  </si>
  <si>
    <t xml:space="preserve">Capture ideas the moment they hit. When you're ready, copy one into the Content Log and set its status here to 'Planned'.</t>
  </si>
  <si>
    <t xml:space="preserve">Priority</t>
  </si>
  <si>
    <t xml:space="preserve">Inspiration / link</t>
  </si>
  <si>
    <t xml:space="preserve">Date added</t>
  </si>
  <si>
    <t xml:space="preserve">Before/after of a messy vs. planned content week</t>
  </si>
  <si>
    <t xml:space="preserve">🔥 High</t>
  </si>
  <si>
    <t xml:space="preserve">Competitor post 9/18</t>
  </si>
  <si>
    <t xml:space="preserve">New</t>
  </si>
  <si>
    <t xml:space="preserve">Myth: you need to post every day</t>
  </si>
  <si>
    <t xml:space="preserve">Q&amp;A: answer top 5 DMs of the month</t>
  </si>
  <si>
    <t xml:space="preserve">Medium</t>
  </si>
  <si>
    <t xml:space="preserve">Tool stack video: everything I use</t>
  </si>
  <si>
    <t xml:space="preserve">Parked</t>
  </si>
  <si>
    <t xml:space="preserve">Holiday gift guide for creators</t>
  </si>
  <si>
    <t xml:space="preserve">Low</t>
  </si>
  <si>
    <t xml:space="preserve">Planned</t>
  </si>
  <si>
    <t xml:space="preserve">#️⃣  Hashtag Bank</t>
  </si>
  <si>
    <t xml:space="preserve">Save reusable hashtag sets, then pick them by name in the Content Log. Tag counts are automatic.</t>
  </si>
  <si>
    <t xml:space="preserve">Set name</t>
  </si>
  <si>
    <t xml:space="preserve">Hashtags (separate with spaces)</t>
  </si>
  <si>
    <t xml:space="preserve">#contentcreator #instagramtips #socialmediatips #contentstrategy #smallbusinesstips #marketingtips #reelstips #growoninstagram</t>
  </si>
  <si>
    <t xml:space="preserve">Rotate weekly</t>
  </si>
  <si>
    <t xml:space="preserve">#newlaunch #smallbusiness #shopsmall #plannerlove #productlaunch</t>
  </si>
  <si>
    <t xml:space="preserve">#fyp #contentcreator #smallbusinesscheck #creatortips</t>
  </si>
  <si>
    <t xml:space="preserve">Keep to 3–5</t>
  </si>
  <si>
    <t xml:space="preserve">#marketing #contentmarketing #entrepreneurship</t>
  </si>
  <si>
    <t xml:space="preserve">3 max on LinkedIn</t>
  </si>
  <si>
    <t xml:space="preserve">#contentcalendar #socialmediaplanner #plannertemplate</t>
  </si>
  <si>
    <t xml:space="preserve">#contentplanning #socialmediamarketing #tutorial</t>
  </si>
  <si>
    <t xml:space="preserve">#contentstrategy</t>
  </si>
  <si>
    <t xml:space="preserve">1–2 on X</t>
  </si>
</sst>
</file>

<file path=xl/styles.xml><?xml version="1.0" encoding="utf-8"?>
<styleSheet xmlns="http://schemas.openxmlformats.org/spreadsheetml/2006/main">
  <numFmts count="15">
    <numFmt numFmtId="164" formatCode="General"/>
    <numFmt numFmtId="165" formatCode="#,##0"/>
    <numFmt numFmtId="166" formatCode="0%"/>
    <numFmt numFmtId="167" formatCode="mmm\ d&quot;, &quot;yyyy"/>
    <numFmt numFmtId="168" formatCode="h:mm\ AM/PM"/>
    <numFmt numFmtId="169" formatCode="0.0%"/>
    <numFmt numFmtId="170" formatCode="mm/dd/yy"/>
    <numFmt numFmtId="171" formatCode="0.00%"/>
    <numFmt numFmtId="172" formatCode="0"/>
    <numFmt numFmtId="173" formatCode="d"/>
    <numFmt numFmtId="174" formatCode="mmm\ d"/>
    <numFmt numFmtId="175" formatCode="General"/>
    <numFmt numFmtId="176" formatCode="\+0%;\-0%;0%"/>
    <numFmt numFmtId="177" formatCode="\+#,##0;\-#,##0;0"/>
    <numFmt numFmtId="178" formatCode="\+0.0%;\-0.0%;0.0%"/>
  </numFmts>
  <fonts count="4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2A36"/>
      <name val="Arial"/>
      <family val="0"/>
      <charset val="1"/>
    </font>
    <font>
      <i val="true"/>
      <sz val="10"/>
      <color rgb="FF6B6575"/>
      <name val="Arial"/>
      <family val="0"/>
      <charset val="1"/>
    </font>
    <font>
      <b val="true"/>
      <sz val="9"/>
      <color rgb="FFC98B7E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2"/>
      <color rgb="FF2E2A36"/>
      <name val="Arial"/>
      <family val="0"/>
      <charset val="1"/>
    </font>
    <font>
      <sz val="10"/>
      <color rgb="FF6B6575"/>
      <name val="Arial"/>
      <family val="0"/>
      <charset val="1"/>
    </font>
    <font>
      <b val="true"/>
      <sz val="10"/>
      <color rgb="FFC98B7E"/>
      <name val="Arial"/>
      <family val="0"/>
      <charset val="1"/>
    </font>
    <font>
      <sz val="10"/>
      <color rgb="FF2E2A36"/>
      <name val="Arial"/>
      <family val="0"/>
      <charset val="1"/>
    </font>
    <font>
      <b val="true"/>
      <sz val="10"/>
      <color rgb="FF2E2A3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2E2A36"/>
      <name val="Arial"/>
      <family val="0"/>
      <charset val="1"/>
    </font>
    <font>
      <sz val="9"/>
      <color rgb="FF6B6575"/>
      <name val="Arial"/>
      <family val="0"/>
      <charset val="1"/>
    </font>
    <font>
      <i val="true"/>
      <sz val="8"/>
      <color rgb="FF6B6575"/>
      <name val="Arial"/>
      <family val="0"/>
      <charset val="1"/>
    </font>
    <font>
      <b val="true"/>
      <sz val="9"/>
      <color rgb="FF6B6575"/>
      <name val="Arial"/>
      <family val="0"/>
      <charset val="1"/>
    </font>
    <font>
      <i val="true"/>
      <sz val="9"/>
      <color rgb="FF6B6575"/>
      <name val="Arial"/>
      <family val="0"/>
      <charset val="1"/>
    </font>
    <font>
      <b val="true"/>
      <sz val="9"/>
      <color rgb="FF8FAE97"/>
      <name val="Arial"/>
      <family val="0"/>
      <charset val="1"/>
    </font>
    <font>
      <b val="true"/>
      <sz val="9"/>
      <color rgb="FFA39FA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B4443A"/>
      <name val="Arial"/>
      <family val="0"/>
      <charset val="1"/>
    </font>
    <font>
      <sz val="8"/>
      <color rgb="FFA39FA8"/>
      <name val="Arial"/>
      <family val="0"/>
      <charset val="1"/>
    </font>
    <font>
      <sz val="10"/>
      <name val="Arial"/>
      <family val="2"/>
    </font>
    <font>
      <b val="true"/>
      <sz val="11"/>
      <color rgb="FF2E2A36"/>
      <name val="Arial"/>
      <family val="0"/>
      <charset val="1"/>
    </font>
    <font>
      <b val="true"/>
      <sz val="12"/>
      <color rgb="FFC98B7E"/>
      <name val="Arial"/>
      <family val="0"/>
      <charset val="1"/>
    </font>
    <font>
      <b val="true"/>
      <sz val="10"/>
      <color rgb="FF6B6575"/>
      <name val="Arial"/>
      <family val="0"/>
      <charset val="1"/>
    </font>
    <font>
      <sz val="8"/>
      <color rgb="FF2E2A36"/>
      <name val="Arial"/>
      <family val="0"/>
      <charset val="1"/>
    </font>
    <font>
      <b val="true"/>
      <i val="true"/>
      <sz val="8"/>
      <color rgb="FFC98B7E"/>
      <name val="Arial"/>
      <family val="0"/>
      <charset val="1"/>
    </font>
    <font>
      <b val="true"/>
      <sz val="11"/>
      <color rgb="FF6B6575"/>
      <name val="Arial"/>
      <family val="0"/>
      <charset val="1"/>
    </font>
    <font>
      <b val="true"/>
      <sz val="13"/>
      <color rgb="FF2E2A36"/>
      <name val="Arial"/>
      <family val="0"/>
      <charset val="1"/>
    </font>
    <font>
      <sz val="9"/>
      <color rgb="FF2E2A36"/>
      <name val="Arial"/>
      <family val="0"/>
      <charset val="1"/>
    </font>
    <font>
      <i val="true"/>
      <sz val="8"/>
      <color rgb="FFA39FA8"/>
      <name val="Arial"/>
      <family val="0"/>
      <charset val="1"/>
    </font>
    <font>
      <b val="true"/>
      <sz val="8"/>
      <color rgb="FF6B6575"/>
      <name val="Arial"/>
      <family val="0"/>
      <charset val="1"/>
    </font>
    <font>
      <b val="true"/>
      <sz val="20"/>
      <color rgb="FFC98B7E"/>
      <name val="Arial"/>
      <family val="0"/>
      <charset val="1"/>
    </font>
    <font>
      <b val="true"/>
      <sz val="20"/>
      <color rgb="FF8FAE97"/>
      <name val="Arial"/>
      <family val="0"/>
      <charset val="1"/>
    </font>
    <font>
      <b val="true"/>
      <sz val="20"/>
      <color rgb="FFB4443A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C98B7E"/>
        <bgColor rgb="FFE3A99B"/>
      </patternFill>
    </fill>
    <fill>
      <patternFill patternType="solid">
        <fgColor rgb="FFFFF9EC"/>
        <bgColor rgb="FFFBF8F4"/>
      </patternFill>
    </fill>
    <fill>
      <patternFill patternType="solid">
        <fgColor rgb="FFFFFFFF"/>
        <bgColor rgb="FFF9F9F9"/>
      </patternFill>
    </fill>
    <fill>
      <patternFill patternType="solid">
        <fgColor rgb="FF2E2A36"/>
        <bgColor rgb="FF333300"/>
      </patternFill>
    </fill>
    <fill>
      <patternFill patternType="solid">
        <fgColor rgb="FF6B6575"/>
        <bgColor rgb="FF5E7D66"/>
      </patternFill>
    </fill>
    <fill>
      <patternFill patternType="solid">
        <fgColor rgb="FFECE4F3"/>
        <bgColor rgb="FFEDEDED"/>
      </patternFill>
    </fill>
    <fill>
      <patternFill patternType="solid">
        <fgColor rgb="FFFBEFD0"/>
        <bgColor rgb="FFF4E4DF"/>
      </patternFill>
    </fill>
    <fill>
      <patternFill patternType="solid">
        <fgColor rgb="FFE1EAF5"/>
        <bgColor rgb="FFE5EFE7"/>
      </patternFill>
    </fill>
    <fill>
      <patternFill patternType="solid">
        <fgColor rgb="FFF4E4DF"/>
        <bgColor rgb="FFF8DEDA"/>
      </patternFill>
    </fill>
    <fill>
      <patternFill patternType="solid">
        <fgColor rgb="FFE5EFE7"/>
        <bgColor rgb="FFEDEDED"/>
      </patternFill>
    </fill>
    <fill>
      <patternFill patternType="solid">
        <fgColor rgb="FFEDEDED"/>
        <bgColor rgb="FFE5EFE7"/>
      </patternFill>
    </fill>
    <fill>
      <patternFill patternType="solid">
        <fgColor rgb="FF5E7D66"/>
        <bgColor rgb="FF3E7D4F"/>
      </patternFill>
    </fill>
    <fill>
      <patternFill patternType="solid">
        <fgColor rgb="FFA39FA8"/>
        <bgColor rgb="FF8FAE97"/>
      </patternFill>
    </fill>
    <fill>
      <patternFill patternType="solid">
        <fgColor rgb="FFF6F6F6"/>
        <bgColor rgb="FFF7F6F8"/>
      </patternFill>
    </fill>
    <fill>
      <patternFill patternType="solid">
        <fgColor rgb="FFFBF8F4"/>
        <bgColor rgb="FFF9F9F9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98B7E"/>
      </bottom>
      <diagonal/>
    </border>
    <border diagonalUp="false" diagonalDown="false">
      <left style="thin">
        <color rgb="FFE3DDD5"/>
      </left>
      <right style="thin">
        <color rgb="FFE3DDD5"/>
      </right>
      <top style="thin">
        <color rgb="FFE3DDD5"/>
      </top>
      <bottom style="thin">
        <color rgb="FFE3DDD5"/>
      </bottom>
      <diagonal/>
    </border>
    <border diagonalUp="false" diagonalDown="false">
      <left style="thin">
        <color rgb="FFE3DDD5"/>
      </left>
      <right style="thin">
        <color rgb="FFE3DDD5"/>
      </right>
      <top style="thin">
        <color rgb="FFA39FA8"/>
      </top>
      <bottom/>
      <diagonal/>
    </border>
    <border diagonalUp="false" diagonalDown="false">
      <left style="thin">
        <color rgb="FFE3DDD5"/>
      </left>
      <right style="thin">
        <color rgb="FFE3DDD5"/>
      </right>
      <top/>
      <bottom/>
      <diagonal/>
    </border>
    <border diagonalUp="false" diagonalDown="false">
      <left style="thin">
        <color rgb="FFE3DDD5"/>
      </left>
      <right style="thin">
        <color rgb="FFE3DDD5"/>
      </right>
      <top/>
      <bottom style="thin">
        <color rgb="FFE3DDD5"/>
      </bottom>
      <diagonal/>
    </border>
    <border diagonalUp="false" diagonalDown="false">
      <left style="thin">
        <color rgb="FFE3DDD5"/>
      </left>
      <right style="thin">
        <color rgb="FFE3DDD5"/>
      </right>
      <top style="medium">
        <color rgb="FFC98B7E"/>
      </top>
      <bottom/>
      <diagonal/>
    </border>
    <border diagonalUp="false" diagonalDown="false">
      <left style="thin">
        <color rgb="FFE3DDD5"/>
      </left>
      <right style="thin">
        <color rgb="FFE3DDD5"/>
      </right>
      <top style="medium">
        <color rgb="FF8FAE97"/>
      </top>
      <bottom/>
      <diagonal/>
    </border>
    <border diagonalUp="false" diagonalDown="false">
      <left style="thin">
        <color rgb="FFE3DDD5"/>
      </left>
      <right style="thin">
        <color rgb="FFE3DDD5"/>
      </right>
      <top style="medium">
        <color rgb="FFB4443A"/>
      </top>
      <bottom/>
      <diagonal/>
    </border>
    <border diagonalUp="false" diagonalDown="false">
      <left/>
      <right/>
      <top/>
      <bottom style="thin">
        <color rgb="FFC98B7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1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2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23" fillId="1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7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25" fillId="16" borderId="3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8" fillId="4" borderId="4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4" borderId="5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4" fontId="31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5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4" fillId="16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6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6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5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6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37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5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35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2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ont>
        <b val="1"/>
        <color rgb="FFB4443A"/>
      </font>
    </dxf>
    <dxf>
      <fill>
        <patternFill patternType="solid">
          <fgColor rgb="FF2E2A36"/>
          <bgColor rgb="FF000000"/>
        </patternFill>
      </fill>
    </dxf>
    <dxf>
      <fill>
        <patternFill patternType="solid">
          <fgColor rgb="FFF4E4DF"/>
          <bgColor rgb="FF000000"/>
        </patternFill>
      </fill>
    </dxf>
    <dxf>
      <fill>
        <patternFill patternType="solid">
          <fgColor rgb="FFFFF9E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6575"/>
          <bgColor rgb="FF000000"/>
        </patternFill>
      </fill>
    </dxf>
    <dxf>
      <fill>
        <patternFill patternType="solid">
          <fgColor rgb="FFE1EAF5"/>
          <bgColor rgb="FF000000"/>
        </patternFill>
      </fill>
    </dxf>
    <dxf>
      <fill>
        <patternFill patternType="solid">
          <fgColor rgb="FFE5EFE7"/>
          <bgColor rgb="FF000000"/>
        </patternFill>
      </fill>
    </dxf>
    <dxf>
      <fill>
        <patternFill patternType="solid">
          <fgColor rgb="FFECE4F3"/>
          <bgColor rgb="FF000000"/>
        </patternFill>
      </fill>
    </dxf>
    <dxf>
      <fill>
        <patternFill patternType="solid">
          <fgColor rgb="FFFBEFD0"/>
          <bgColor rgb="FF000000"/>
        </patternFill>
      </fill>
    </dxf>
    <dxf>
      <fill>
        <patternFill patternType="solid">
          <fgColor rgb="FFF8DEDA"/>
          <bgColor rgb="FF000000"/>
        </patternFill>
      </fill>
    </dxf>
    <dxf>
      <fill>
        <patternFill patternType="solid">
          <fgColor rgb="FFB4443A"/>
          <bgColor rgb="FF000000"/>
        </patternFill>
      </fill>
    </dxf>
    <dxf>
      <fill>
        <patternFill patternType="solid">
          <fgColor rgb="FF5E7D66"/>
          <bgColor rgb="FF000000"/>
        </patternFill>
      </fill>
    </dxf>
    <dxf>
      <fill>
        <patternFill patternType="solid">
          <fgColor rgb="FF9CC5A6"/>
          <bgColor rgb="FF000000"/>
        </patternFill>
      </fill>
    </dxf>
    <dxf>
      <fill>
        <patternFill patternType="solid">
          <fgColor rgb="FFB6D5BE"/>
          <bgColor rgb="FF000000"/>
        </patternFill>
      </fill>
    </dxf>
    <dxf>
      <fill>
        <patternFill patternType="solid">
          <fgColor rgb="FFBFDAC5"/>
          <bgColor rgb="FF000000"/>
        </patternFill>
      </fill>
    </dxf>
    <dxf>
      <fill>
        <patternFill patternType="solid">
          <fgColor rgb="FFC0DAC7"/>
          <bgColor rgb="FF000000"/>
        </patternFill>
      </fill>
    </dxf>
    <dxf>
      <fill>
        <patternFill patternType="solid">
          <fgColor rgb="FFC8DFCD"/>
          <bgColor rgb="FF000000"/>
        </patternFill>
      </fill>
    </dxf>
    <dxf>
      <fill>
        <patternFill patternType="solid">
          <fgColor rgb="FFD2E5D6"/>
          <bgColor rgb="FF000000"/>
        </patternFill>
      </fill>
    </dxf>
    <dxf>
      <fill>
        <patternFill patternType="solid">
          <fgColor rgb="FFF3F8F5"/>
          <bgColor rgb="FF000000"/>
        </patternFill>
      </fill>
    </dxf>
    <dxf>
      <fill>
        <patternFill patternType="solid">
          <fgColor rgb="FFC98B7E"/>
          <bgColor rgb="FF000000"/>
        </patternFill>
      </fill>
    </dxf>
    <dxf>
      <fill>
        <patternFill>
          <bgColor rgb="FFECE4F3"/>
        </patternFill>
      </fill>
    </dxf>
    <dxf>
      <fill>
        <patternFill>
          <bgColor rgb="FFFBEFD0"/>
        </patternFill>
      </fill>
    </dxf>
    <dxf>
      <fill>
        <patternFill>
          <bgColor rgb="FFE1EAF5"/>
        </patternFill>
      </fill>
    </dxf>
    <dxf>
      <fill>
        <patternFill>
          <bgColor rgb="FFF4E4DF"/>
        </patternFill>
      </fill>
    </dxf>
    <dxf>
      <fill>
        <patternFill>
          <bgColor rgb="FFE5EFE7"/>
        </patternFill>
      </fill>
    </dxf>
    <dxf>
      <fill>
        <patternFill>
          <bgColor rgb="FFEDEDED"/>
        </patternFill>
      </fill>
    </dxf>
    <dxf>
      <fill>
        <patternFill>
          <bgColor rgb="FFF8DEDA"/>
        </patternFill>
      </fill>
    </dxf>
    <dxf>
      <font>
        <b val="1"/>
      </font>
      <fill>
        <patternFill>
          <bgColor rgb="FFF4E4DF"/>
        </patternFill>
      </fill>
    </dxf>
    <dxf>
      <font>
        <b val="1"/>
        <color rgb="FFFFFFFF"/>
      </font>
      <fill>
        <patternFill>
          <bgColor rgb="FFC98B7E"/>
        </patternFill>
      </fill>
    </dxf>
    <dxf>
      <font>
        <color rgb="FFC9C5CC"/>
      </font>
      <fill>
        <patternFill>
          <bgColor rgb="FFF7F6F8"/>
        </patternFill>
      </fill>
    </dxf>
    <dxf>
      <font>
        <b val="1"/>
        <color rgb="FF3E7D4F"/>
      </font>
    </dxf>
    <dxf>
      <font>
        <b val="1"/>
        <color rgb="FFB07A1E"/>
      </font>
    </dxf>
    <dxf>
      <font>
        <color rgb="FFB4443A"/>
      </font>
    </dxf>
    <dxf>
      <font>
        <color rgb="FF3E7D4F"/>
      </font>
    </dxf>
    <dxf>
      <fill>
        <patternFill patternType="solid">
          <fgColor rgb="FFD9E8DC"/>
          <bgColor rgb="FF000000"/>
        </patternFill>
      </fill>
    </dxf>
    <dxf>
      <fill>
        <patternFill>
          <bgColor rgb="FFD9E8D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4E4DF"/>
      <rgbColor rgb="FFFF00FF"/>
      <rgbColor rgb="FFF6F6F6"/>
      <rgbColor rgb="FF800000"/>
      <rgbColor rgb="FF008000"/>
      <rgbColor rgb="FF000080"/>
      <rgbColor rgb="FFB07A1E"/>
      <rgbColor rgb="FF800080"/>
      <rgbColor rgb="FF5E7D66"/>
      <rgbColor rgb="FFC9C5CC"/>
      <rgbColor rgb="FF878787"/>
      <rgbColor rgb="FF7FA7C4"/>
      <rgbColor rgb="FFB4443A"/>
      <rgbColor rgb="FFFFF9EC"/>
      <rgbColor rgb="FFE5EFE7"/>
      <rgbColor rgb="FF660066"/>
      <rgbColor rgb="FFC98B7E"/>
      <rgbColor rgb="FF0066CC"/>
      <rgbColor rgb="FFD9D9D9"/>
      <rgbColor rgb="FF000080"/>
      <rgbColor rgb="FFFF00FF"/>
      <rgbColor rgb="FFEDEDED"/>
      <rgbColor rgb="FFF7F6F8"/>
      <rgbColor rgb="FF800080"/>
      <rgbColor rgb="FF800000"/>
      <rgbColor rgb="FF008080"/>
      <rgbColor rgb="FF0000FF"/>
      <rgbColor rgb="FFF9F9F9"/>
      <rgbColor rgb="FFE1EAF5"/>
      <rgbColor rgb="FFD9E8DC"/>
      <rgbColor rgb="FFFBEFD0"/>
      <rgbColor rgb="FFB5CDB9"/>
      <rgbColor rgb="FFE3A99B"/>
      <rgbColor rgb="FF8C7FA8"/>
      <rgbColor rgb="FFF8DEDA"/>
      <rgbColor rgb="FF4F81BD"/>
      <rgbColor rgb="FFECE4F3"/>
      <rgbColor rgb="FF8FAE97"/>
      <rgbColor rgb="FFE3DDD5"/>
      <rgbColor rgb="FFD9B26F"/>
      <rgbColor rgb="FFFBF8F4"/>
      <rgbColor rgb="FF6B6575"/>
      <rgbColor rgb="FFA39FA8"/>
      <rgbColor rgb="FF003366"/>
      <rgbColor rgb="FF3E7D4F"/>
      <rgbColor rgb="FF003300"/>
      <rgbColor rgb="FF333300"/>
      <rgbColor rgb="FF993300"/>
      <rgbColor rgb="FF993366"/>
      <rgbColor rgb="FF333399"/>
      <rgbColor rgb="FF2E2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Posts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Dashboard!C12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rgbClr val="c98b7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Dashboard!$B$13:$B$22</c:f>
              <c:strCache>
                <c:ptCount val="10"/>
                <c:pt idx="0">
                  <c:v>Instagram</c:v>
                </c:pt>
                <c:pt idx="1">
                  <c:v>TikTok</c:v>
                </c:pt>
                <c:pt idx="2">
                  <c:v>YouTube</c:v>
                </c:pt>
                <c:pt idx="3">
                  <c:v>LinkedIn</c:v>
                </c:pt>
                <c:pt idx="4">
                  <c:v>Facebook</c:v>
                </c:pt>
                <c:pt idx="5">
                  <c:v>Pinterest</c:v>
                </c:pt>
                <c:pt idx="6">
                  <c:v>X / Twitter</c:v>
                </c:pt>
                <c:pt idx="7">
                  <c:v>Threads</c:v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Dashboard!$C$13:$C$22</c:f>
              <c:numCache>
                <c:formatCode>0</c:formatCode>
                <c:ptCount val="10"/>
                <c:pt idx="0">
                  <c:v>6</c:v>
                </c:pt>
                <c:pt idx="1">
                  <c:v>3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</c:numCache>
            </c:numRef>
          </c:val>
        </c:ser>
        <c:ser>
          <c:idx val="1"/>
          <c:order val="1"/>
          <c:tx>
            <c:strRef>
              <c:f>Dashboard!D12</c:f>
              <c:strCache>
                <c:ptCount val="1"/>
                <c:pt idx="0">
                  <c:v>Published</c:v>
                </c:pt>
              </c:strCache>
            </c:strRef>
          </c:tx>
          <c:spPr>
            <a:solidFill>
              <a:srgbClr val="8fae9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Dashboard!$B$13:$B$22</c:f>
              <c:strCache>
                <c:ptCount val="10"/>
                <c:pt idx="0">
                  <c:v>Instagram</c:v>
                </c:pt>
                <c:pt idx="1">
                  <c:v>TikTok</c:v>
                </c:pt>
                <c:pt idx="2">
                  <c:v>YouTube</c:v>
                </c:pt>
                <c:pt idx="3">
                  <c:v>LinkedIn</c:v>
                </c:pt>
                <c:pt idx="4">
                  <c:v>Facebook</c:v>
                </c:pt>
                <c:pt idx="5">
                  <c:v>Pinterest</c:v>
                </c:pt>
                <c:pt idx="6">
                  <c:v>X / Twitter</c:v>
                </c:pt>
                <c:pt idx="7">
                  <c:v>Threads</c:v>
                </c:pt>
                <c:pt idx="8">
                  <c:v/>
                </c:pt>
                <c:pt idx="9">
                  <c:v/>
                </c:pt>
              </c:strCache>
            </c:strRef>
          </c:cat>
          <c:val>
            <c:numRef>
              <c:f>Dashboard!$D$13:$D$22</c:f>
              <c:numCache>
                <c:formatCode>0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</c:ser>
        <c:gapWidth val="60"/>
        <c:overlap val="0"/>
        <c:axId val="60578732"/>
        <c:axId val="67393840"/>
      </c:barChart>
      <c:catAx>
        <c:axId val="6057873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7393840"/>
        <c:crosses val="autoZero"/>
        <c:auto val="1"/>
        <c:lblAlgn val="ctr"/>
        <c:lblOffset val="100"/>
        <c:noMultiLvlLbl val="0"/>
      </c:catAx>
      <c:valAx>
        <c:axId val="67393840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5787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Pillar mix (actual)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Dashboard!L12</c:f>
              <c:strCache>
                <c:ptCount val="1"/>
                <c:pt idx="0">
                  <c:v>Posts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c98b7e"/>
              </a:solidFill>
              <a:ln w="0">
                <a:noFill/>
              </a:ln>
            </c:spPr>
          </c:dPt>
          <c:dPt>
            <c:idx val="1"/>
            <c:spPr>
              <a:solidFill>
                <a:srgbClr val="8fae97"/>
              </a:solidFill>
              <a:ln w="0">
                <a:noFill/>
              </a:ln>
            </c:spPr>
          </c:dPt>
          <c:dPt>
            <c:idx val="2"/>
            <c:spPr>
              <a:solidFill>
                <a:srgbClr val="d9b26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c7fa8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fa7c4"/>
              </a:solidFill>
              <a:ln w="0">
                <a:noFill/>
              </a:ln>
            </c:spPr>
          </c:dPt>
          <c:dPt>
            <c:idx val="5"/>
            <c:spPr>
              <a:solidFill>
                <a:srgbClr val="c9c5cc"/>
              </a:solidFill>
              <a:ln w="0">
                <a:noFill/>
              </a:ln>
            </c:spPr>
          </c:dPt>
          <c:dPt>
            <c:idx val="6"/>
            <c:spPr>
              <a:solidFill>
                <a:srgbClr val="e3a99b"/>
              </a:solidFill>
              <a:ln w="0">
                <a:noFill/>
              </a:ln>
            </c:spPr>
          </c:dPt>
          <c:dPt>
            <c:idx val="7"/>
            <c:spPr>
              <a:solidFill>
                <a:srgbClr val="b5cdb9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Dashboard!$K$13:$K$20</c:f>
              <c:strCache>
                <c:ptCount val="8"/>
                <c:pt idx="0">
                  <c:v>Educate</c:v>
                </c:pt>
                <c:pt idx="1">
                  <c:v>Inspire</c:v>
                </c:pt>
                <c:pt idx="2">
                  <c:v>Entertain</c:v>
                </c:pt>
                <c:pt idx="3">
                  <c:v>Promote</c:v>
                </c:pt>
                <c:pt idx="4">
                  <c:v>Community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</c:strCache>
            </c:strRef>
          </c:cat>
          <c:val>
            <c:numRef>
              <c:f>Dashboard!$L$13:$L$20</c:f>
              <c:numCache>
                <c:formatCode>0</c:formatCode>
                <c:ptCount val="8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4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Engagement rate by weekday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Dashboard!O26</c:f>
              <c:strCache>
                <c:ptCount val="1"/>
                <c:pt idx="0">
                  <c:v>Eng. rate</c:v>
                </c:pt>
              </c:strCache>
            </c:strRef>
          </c:tx>
          <c:spPr>
            <a:solidFill>
              <a:srgbClr val="8fae9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Dashboard!$K$27:$K$33</c:f>
              <c:strCache>
                <c:ptCount val="7"/>
                <c:pt idx="0">
                  <c:v>Monday</c:v>
                </c:pt>
                <c:pt idx="1">
                  <c:v>Tuesday</c:v>
                </c:pt>
                <c:pt idx="2">
                  <c:v>Wednesday</c:v>
                </c:pt>
                <c:pt idx="3">
                  <c:v>Thursday</c:v>
                </c:pt>
                <c:pt idx="4">
                  <c:v>Friday</c:v>
                </c:pt>
                <c:pt idx="5">
                  <c:v>Saturday</c:v>
                </c:pt>
                <c:pt idx="6">
                  <c:v>Sunday</c:v>
                </c:pt>
              </c:strCache>
            </c:strRef>
          </c:cat>
          <c:val>
            <c:numRef>
              <c:f>Dashboard!$O$27:$O$33</c:f>
              <c:numCache>
                <c:formatCode>0.0%</c:formatCode>
                <c:ptCount val="7"/>
                <c:pt idx="3">
                  <c:v>0.116176470588235</c:v>
                </c:pt>
                <c:pt idx="5">
                  <c:v>0.121432835820896</c:v>
                </c:pt>
              </c:numCache>
            </c:numRef>
          </c:val>
        </c:ser>
        <c:gapWidth val="60"/>
        <c:overlap val="0"/>
        <c:axId val="18022663"/>
        <c:axId val="2215072"/>
      </c:barChart>
      <c:catAx>
        <c:axId val="18022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5072"/>
        <c:crosses val="autoZero"/>
        <c:auto val="1"/>
        <c:lblAlgn val="ctr"/>
        <c:lblOffset val="100"/>
        <c:noMultiLvlLbl val="0"/>
      </c:catAx>
      <c:valAx>
        <c:axId val="2215072"/>
        <c:scaling>
          <c:orientation val="minMax"/>
          <c:min val="0"/>
        </c:scaling>
        <c:delete val="0"/>
        <c:axPos val="l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022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Total followers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'Growth Tracker'!M7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c98b7e"/>
            </a:solidFill>
            <a:ln w="28080">
              <a:solidFill>
                <a:srgbClr val="c98b7e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'Growth Tracker'!$B$8:$B$19</c:f>
              <c:strCache>
                <c:ptCount val="12"/>
                <c:pt idx="0">
                  <c:v>Jan 2026</c:v>
                </c:pt>
                <c:pt idx="1">
                  <c:v>Feb 2026</c:v>
                </c:pt>
                <c:pt idx="2">
                  <c:v>Mar 2026</c:v>
                </c:pt>
                <c:pt idx="3">
                  <c:v>Apr 2026</c:v>
                </c:pt>
                <c:pt idx="4">
                  <c:v>May 2026</c:v>
                </c:pt>
                <c:pt idx="5">
                  <c:v>Jun 2026</c:v>
                </c:pt>
                <c:pt idx="6">
                  <c:v>Jul 2026</c:v>
                </c:pt>
                <c:pt idx="7">
                  <c:v>Aug 2026</c:v>
                </c:pt>
                <c:pt idx="8">
                  <c:v>Sep 2026</c:v>
                </c:pt>
                <c:pt idx="9">
                  <c:v>Oct 2026</c:v>
                </c:pt>
                <c:pt idx="10">
                  <c:v>Nov 2026</c:v>
                </c:pt>
                <c:pt idx="11">
                  <c:v>Dec 2026</c:v>
                </c:pt>
              </c:strCache>
            </c:strRef>
          </c:cat>
          <c:val>
            <c:numRef>
              <c:f>'Growth Tracker'!$M$8:$M$19</c:f>
              <c:numCache>
                <c:formatCode>#,##0</c:formatCode>
                <c:ptCount val="12"/>
                <c:pt idx="0">
                  <c:v>9010</c:v>
                </c:pt>
                <c:pt idx="1">
                  <c:v>9940</c:v>
                </c:pt>
                <c:pt idx="2">
                  <c:v>11010</c:v>
                </c:pt>
                <c:pt idx="3">
                  <c:v>12440</c:v>
                </c:pt>
                <c:pt idx="4">
                  <c:v>13720</c:v>
                </c:pt>
                <c:pt idx="5">
                  <c:v>15760</c:v>
                </c:pt>
                <c:pt idx="6">
                  <c:v>17900</c:v>
                </c:pt>
                <c:pt idx="7">
                  <c:v>19540</c:v>
                </c:pt>
                <c:pt idx="8">
                  <c:v>21665</c:v>
                </c:pt>
                <c:pt idx="9">
                  <c:v>24470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56724338"/>
        <c:axId val="27963092"/>
      </c:lineChart>
      <c:catAx>
        <c:axId val="5672433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7963092"/>
        <c:crosses val="autoZero"/>
        <c:auto val="1"/>
        <c:lblAlgn val="ctr"/>
        <c:lblOffset val="100"/>
        <c:noMultiLvlLbl val="0"/>
      </c:catAx>
      <c:valAx>
        <c:axId val="27963092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72433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17</xdr:col>
      <xdr:colOff>0</xdr:colOff>
      <xdr:row>5</xdr:row>
      <xdr:rowOff>0</xdr:rowOff>
    </xdr:from>
    <xdr:to>
      <xdr:col>23</xdr:col>
      <xdr:colOff>126720</xdr:colOff>
      <xdr:row>18</xdr:row>
      <xdr:rowOff>78480</xdr:rowOff>
    </xdr:to>
    <xdr:graphicFrame>
      <xdr:nvGraphicFramePr>
        <xdr:cNvPr id="0" name="Chart 1"/>
        <xdr:cNvGraphicFramePr/>
      </xdr:nvGraphicFramePr>
      <xdr:xfrm>
        <a:off x="16624440" y="136224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23</xdr:row>
      <xdr:rowOff>0</xdr:rowOff>
    </xdr:from>
    <xdr:to>
      <xdr:col>23</xdr:col>
      <xdr:colOff>126720</xdr:colOff>
      <xdr:row>38</xdr:row>
      <xdr:rowOff>11520</xdr:rowOff>
    </xdr:to>
    <xdr:graphicFrame>
      <xdr:nvGraphicFramePr>
        <xdr:cNvPr id="1" name="Chart 2"/>
        <xdr:cNvGraphicFramePr/>
      </xdr:nvGraphicFramePr>
      <xdr:xfrm>
        <a:off x="16624440" y="529596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17</xdr:col>
      <xdr:colOff>0</xdr:colOff>
      <xdr:row>41</xdr:row>
      <xdr:rowOff>0</xdr:rowOff>
    </xdr:from>
    <xdr:to>
      <xdr:col>23</xdr:col>
      <xdr:colOff>126720</xdr:colOff>
      <xdr:row>54</xdr:row>
      <xdr:rowOff>106920</xdr:rowOff>
    </xdr:to>
    <xdr:graphicFrame>
      <xdr:nvGraphicFramePr>
        <xdr:cNvPr id="2" name="Chart 3"/>
        <xdr:cNvGraphicFramePr/>
      </xdr:nvGraphicFramePr>
      <xdr:xfrm>
        <a:off x="16624440" y="8915400"/>
        <a:ext cx="467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14</xdr:col>
      <xdr:colOff>0</xdr:colOff>
      <xdr:row>5</xdr:row>
      <xdr:rowOff>0</xdr:rowOff>
    </xdr:from>
    <xdr:to>
      <xdr:col>21</xdr:col>
      <xdr:colOff>447840</xdr:colOff>
      <xdr:row>21</xdr:row>
      <xdr:rowOff>29520</xdr:rowOff>
    </xdr:to>
    <xdr:graphicFrame>
      <xdr:nvGraphicFramePr>
        <xdr:cNvPr id="3" name="Chart 1"/>
        <xdr:cNvGraphicFramePr/>
      </xdr:nvGraphicFramePr>
      <xdr:xfrm>
        <a:off x="13960440" y="124776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Social-Media-Content-Planner.xlsx" TargetMode="External"/><Relationship Id="rId2" Type="http://schemas.openxmlformats.org/officeDocument/2006/relationships/hyperlink" Target="Social-Media-Content-Planner.xlsx" TargetMode="External"/><Relationship Id="rId3" Type="http://schemas.openxmlformats.org/officeDocument/2006/relationships/hyperlink" Target="Social-Media-Content-Planner.xlsx" TargetMode="External"/><Relationship Id="rId4" Type="http://schemas.openxmlformats.org/officeDocument/2006/relationships/hyperlink" Target="Social-Media-Content-Planner.xlsx" TargetMode="External"/><Relationship Id="rId5" Type="http://schemas.openxmlformats.org/officeDocument/2006/relationships/hyperlink" Target="Social-Media-Content-Planner.xlsx" TargetMode="External"/><Relationship Id="rId6" Type="http://schemas.openxmlformats.org/officeDocument/2006/relationships/hyperlink" Target="Social-Media-Content-Planner.xlsx" TargetMode="External"/><Relationship Id="rId7" Type="http://schemas.openxmlformats.org/officeDocument/2006/relationships/hyperlink" Target="Social-Media-Content-Planner.xlsx" TargetMode="External"/><Relationship Id="rId8" Type="http://schemas.openxmlformats.org/officeDocument/2006/relationships/hyperlink" Target="Social-Media-Content-Planner.xlsx" TargetMode="Externa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2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7E"/>
    <pageSetUpPr fitToPage="true"/>
  </sheetPr>
  <dimension ref="A1:J35"/>
  <sheetViews>
    <sheetView showFormulas="false" showGridLines="fals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"/>
    <col collapsed="false" customWidth="true" hidden="false" outlineLevel="0" max="3" min="3" style="0" width="26"/>
    <col collapsed="false" customWidth="true" hidden="false" outlineLevel="0" max="10" min="4" style="0" width="14"/>
  </cols>
  <sheetData>
    <row r="1" customFormat="false" ht="33.75" hidden="false" customHeight="true" outlineLevel="0" collapsed="false">
      <c r="B1" s="1" t="s">
        <v>0</v>
      </c>
    </row>
    <row r="2" customFormat="false" ht="19.5" hidden="false" customHeight="true" outlineLevel="0" collapsed="false">
      <c r="A2" s="2"/>
      <c r="B2" s="3" t="s">
        <v>1</v>
      </c>
      <c r="C2" s="2"/>
      <c r="D2" s="2"/>
      <c r="E2" s="2"/>
      <c r="F2" s="2"/>
      <c r="G2" s="2"/>
      <c r="H2" s="2"/>
      <c r="I2" s="2"/>
      <c r="J2" s="2"/>
    </row>
    <row r="4" customFormat="false" ht="15" hidden="false" customHeight="true" outlineLevel="0" collapsed="false">
      <c r="C4" s="4" t="s">
        <v>2</v>
      </c>
      <c r="D4" s="4"/>
      <c r="E4" s="4"/>
      <c r="F4" s="4"/>
      <c r="G4" s="4"/>
      <c r="H4" s="4"/>
      <c r="I4" s="4"/>
      <c r="J4" s="4"/>
    </row>
    <row r="6" customFormat="false" ht="24" hidden="false" customHeight="true" outlineLevel="0" collapsed="false">
      <c r="B6" s="5" t="n">
        <v>1</v>
      </c>
      <c r="C6" s="6" t="s">
        <v>3</v>
      </c>
      <c r="D6" s="6"/>
      <c r="E6" s="6"/>
      <c r="F6" s="6"/>
      <c r="G6" s="6"/>
      <c r="H6" s="6"/>
      <c r="I6" s="6"/>
      <c r="J6" s="6"/>
    </row>
    <row r="7" customFormat="false" ht="33.75" hidden="false" customHeight="true" outlineLevel="0" collapsed="false">
      <c r="C7" s="7" t="s">
        <v>4</v>
      </c>
      <c r="D7" s="7"/>
      <c r="E7" s="7"/>
      <c r="F7" s="7"/>
      <c r="G7" s="7"/>
      <c r="H7" s="7"/>
      <c r="I7" s="7"/>
      <c r="J7" s="7"/>
    </row>
    <row r="9" customFormat="false" ht="24" hidden="false" customHeight="true" outlineLevel="0" collapsed="false">
      <c r="B9" s="5" t="n">
        <v>2</v>
      </c>
      <c r="C9" s="6" t="s">
        <v>5</v>
      </c>
      <c r="D9" s="6"/>
      <c r="E9" s="6"/>
      <c r="F9" s="6"/>
      <c r="G9" s="6"/>
      <c r="H9" s="6"/>
      <c r="I9" s="6"/>
      <c r="J9" s="6"/>
    </row>
    <row r="10" customFormat="false" ht="33.75" hidden="false" customHeight="true" outlineLevel="0" collapsed="false">
      <c r="C10" s="7" t="s">
        <v>6</v>
      </c>
      <c r="D10" s="7"/>
      <c r="E10" s="7"/>
      <c r="F10" s="7"/>
      <c r="G10" s="7"/>
      <c r="H10" s="7"/>
      <c r="I10" s="7"/>
      <c r="J10" s="7"/>
    </row>
    <row r="12" customFormat="false" ht="24" hidden="false" customHeight="true" outlineLevel="0" collapsed="false">
      <c r="B12" s="5" t="n">
        <v>3</v>
      </c>
      <c r="C12" s="6" t="s">
        <v>7</v>
      </c>
      <c r="D12" s="6"/>
      <c r="E12" s="6"/>
      <c r="F12" s="6"/>
      <c r="G12" s="6"/>
      <c r="H12" s="6"/>
      <c r="I12" s="6"/>
      <c r="J12" s="6"/>
    </row>
    <row r="13" customFormat="false" ht="33.75" hidden="false" customHeight="true" outlineLevel="0" collapsed="false">
      <c r="C13" s="7" t="s">
        <v>8</v>
      </c>
      <c r="D13" s="7"/>
      <c r="E13" s="7"/>
      <c r="F13" s="7"/>
      <c r="G13" s="7"/>
      <c r="H13" s="7"/>
      <c r="I13" s="7"/>
      <c r="J13" s="7"/>
    </row>
    <row r="15" customFormat="false" ht="15" hidden="false" customHeight="true" outlineLevel="0" collapsed="false">
      <c r="C15" s="4" t="s">
        <v>9</v>
      </c>
      <c r="D15" s="4"/>
      <c r="E15" s="4"/>
      <c r="F15" s="4"/>
      <c r="G15" s="4"/>
      <c r="H15" s="4"/>
      <c r="I15" s="4"/>
      <c r="J15" s="4"/>
    </row>
    <row r="16" customFormat="false" ht="15" hidden="false" customHeight="true" outlineLevel="0" collapsed="false">
      <c r="C16" s="8" t="s">
        <v>10</v>
      </c>
      <c r="D16" s="9" t="s">
        <v>11</v>
      </c>
      <c r="E16" s="9"/>
      <c r="F16" s="9"/>
      <c r="G16" s="9"/>
      <c r="H16" s="9"/>
      <c r="I16" s="9"/>
      <c r="J16" s="9"/>
    </row>
    <row r="17" customFormat="false" ht="15" hidden="false" customHeight="true" outlineLevel="0" collapsed="false">
      <c r="C17" s="8" t="s">
        <v>12</v>
      </c>
      <c r="D17" s="9" t="s">
        <v>13</v>
      </c>
      <c r="E17" s="9"/>
      <c r="F17" s="9"/>
      <c r="G17" s="9"/>
      <c r="H17" s="9"/>
      <c r="I17" s="9"/>
      <c r="J17" s="9"/>
    </row>
    <row r="18" customFormat="false" ht="15" hidden="false" customHeight="true" outlineLevel="0" collapsed="false">
      <c r="C18" s="8" t="s">
        <v>14</v>
      </c>
      <c r="D18" s="9" t="s">
        <v>15</v>
      </c>
      <c r="E18" s="9"/>
      <c r="F18" s="9"/>
      <c r="G18" s="9"/>
      <c r="H18" s="9"/>
      <c r="I18" s="9"/>
      <c r="J18" s="9"/>
    </row>
    <row r="19" customFormat="false" ht="15" hidden="false" customHeight="true" outlineLevel="0" collapsed="false">
      <c r="C19" s="8" t="s">
        <v>16</v>
      </c>
      <c r="D19" s="9" t="s">
        <v>17</v>
      </c>
      <c r="E19" s="9"/>
      <c r="F19" s="9"/>
      <c r="G19" s="9"/>
      <c r="H19" s="9"/>
      <c r="I19" s="9"/>
      <c r="J19" s="9"/>
    </row>
    <row r="20" customFormat="false" ht="15" hidden="false" customHeight="true" outlineLevel="0" collapsed="false">
      <c r="C20" s="8" t="s">
        <v>18</v>
      </c>
      <c r="D20" s="9" t="s">
        <v>19</v>
      </c>
      <c r="E20" s="9"/>
      <c r="F20" s="9"/>
      <c r="G20" s="9"/>
      <c r="H20" s="9"/>
      <c r="I20" s="9"/>
      <c r="J20" s="9"/>
    </row>
    <row r="21" customFormat="false" ht="15" hidden="false" customHeight="true" outlineLevel="0" collapsed="false">
      <c r="C21" s="8" t="s">
        <v>20</v>
      </c>
      <c r="D21" s="9" t="s">
        <v>21</v>
      </c>
      <c r="E21" s="9"/>
      <c r="F21" s="9"/>
      <c r="G21" s="9"/>
      <c r="H21" s="9"/>
      <c r="I21" s="9"/>
      <c r="J21" s="9"/>
    </row>
    <row r="22" customFormat="false" ht="15" hidden="false" customHeight="true" outlineLevel="0" collapsed="false">
      <c r="C22" s="8" t="s">
        <v>22</v>
      </c>
      <c r="D22" s="9" t="s">
        <v>23</v>
      </c>
      <c r="E22" s="9"/>
      <c r="F22" s="9"/>
      <c r="G22" s="9"/>
      <c r="H22" s="9"/>
      <c r="I22" s="9"/>
      <c r="J22" s="9"/>
    </row>
    <row r="23" customFormat="false" ht="15" hidden="false" customHeight="true" outlineLevel="0" collapsed="false">
      <c r="C23" s="8" t="s">
        <v>24</v>
      </c>
      <c r="D23" s="9" t="s">
        <v>25</v>
      </c>
      <c r="E23" s="9"/>
      <c r="F23" s="9"/>
      <c r="G23" s="9"/>
      <c r="H23" s="9"/>
      <c r="I23" s="9"/>
      <c r="J23" s="9"/>
    </row>
    <row r="25" customFormat="false" ht="15" hidden="false" customHeight="true" outlineLevel="0" collapsed="false">
      <c r="C25" s="4" t="s">
        <v>26</v>
      </c>
      <c r="D25" s="4"/>
      <c r="E25" s="4"/>
      <c r="F25" s="4"/>
      <c r="G25" s="4"/>
      <c r="H25" s="4"/>
      <c r="I25" s="4"/>
      <c r="J25" s="4"/>
    </row>
    <row r="26" customFormat="false" ht="15" hidden="false" customHeight="true" outlineLevel="0" collapsed="false">
      <c r="C26" s="10" t="s">
        <v>27</v>
      </c>
      <c r="D26" s="9" t="s">
        <v>28</v>
      </c>
      <c r="E26" s="9"/>
      <c r="F26" s="9"/>
      <c r="G26" s="9"/>
      <c r="H26" s="9"/>
      <c r="I26" s="9"/>
      <c r="J26" s="9"/>
    </row>
    <row r="27" customFormat="false" ht="15" hidden="false" customHeight="true" outlineLevel="0" collapsed="false">
      <c r="C27" s="11" t="s">
        <v>29</v>
      </c>
      <c r="D27" s="9" t="s">
        <v>30</v>
      </c>
      <c r="E27" s="9"/>
      <c r="F27" s="9"/>
      <c r="G27" s="9"/>
      <c r="H27" s="9"/>
      <c r="I27" s="9"/>
      <c r="J27" s="9"/>
    </row>
    <row r="28" customFormat="false" ht="15" hidden="false" customHeight="true" outlineLevel="0" collapsed="false">
      <c r="C28" s="12" t="s">
        <v>31</v>
      </c>
      <c r="D28" s="13" t="s">
        <v>32</v>
      </c>
      <c r="E28" s="13"/>
      <c r="F28" s="13"/>
      <c r="G28" s="13"/>
      <c r="H28" s="13"/>
      <c r="I28" s="13"/>
      <c r="J28" s="13"/>
    </row>
    <row r="30" customFormat="false" ht="15" hidden="false" customHeight="true" outlineLevel="0" collapsed="false">
      <c r="C30" s="4" t="s">
        <v>33</v>
      </c>
      <c r="D30" s="4"/>
      <c r="E30" s="4"/>
      <c r="F30" s="4"/>
      <c r="G30" s="4"/>
      <c r="H30" s="4"/>
      <c r="I30" s="4"/>
      <c r="J30" s="4"/>
    </row>
    <row r="31" customFormat="false" ht="18" hidden="false" customHeight="true" outlineLevel="0" collapsed="false">
      <c r="C31" s="14" t="s">
        <v>34</v>
      </c>
      <c r="D31" s="14"/>
      <c r="E31" s="14"/>
      <c r="F31" s="14"/>
      <c r="G31" s="14"/>
      <c r="H31" s="14"/>
      <c r="I31" s="14"/>
      <c r="J31" s="14"/>
    </row>
    <row r="32" customFormat="false" ht="18" hidden="false" customHeight="true" outlineLevel="0" collapsed="false">
      <c r="C32" s="14" t="s">
        <v>35</v>
      </c>
      <c r="D32" s="14"/>
      <c r="E32" s="14"/>
      <c r="F32" s="14"/>
      <c r="G32" s="14"/>
      <c r="H32" s="14"/>
      <c r="I32" s="14"/>
      <c r="J32" s="14"/>
    </row>
    <row r="33" customFormat="false" ht="18" hidden="false" customHeight="true" outlineLevel="0" collapsed="false">
      <c r="C33" s="14" t="s">
        <v>36</v>
      </c>
      <c r="D33" s="14"/>
      <c r="E33" s="14"/>
      <c r="F33" s="14"/>
      <c r="G33" s="14"/>
      <c r="H33" s="14"/>
      <c r="I33" s="14"/>
      <c r="J33" s="14"/>
    </row>
    <row r="34" customFormat="false" ht="18" hidden="false" customHeight="true" outlineLevel="0" collapsed="false">
      <c r="C34" s="14" t="s">
        <v>37</v>
      </c>
      <c r="D34" s="14"/>
      <c r="E34" s="14"/>
      <c r="F34" s="14"/>
      <c r="G34" s="14"/>
      <c r="H34" s="14"/>
      <c r="I34" s="14"/>
      <c r="J34" s="14"/>
    </row>
    <row r="35" customFormat="false" ht="18" hidden="false" customHeight="true" outlineLevel="0" collapsed="false">
      <c r="C35" s="14" t="s">
        <v>38</v>
      </c>
      <c r="D35" s="14"/>
      <c r="E35" s="14"/>
      <c r="F35" s="14"/>
      <c r="G35" s="14"/>
      <c r="H35" s="14"/>
      <c r="I35" s="14"/>
      <c r="J35" s="14"/>
    </row>
  </sheetData>
  <mergeCells count="26">
    <mergeCell ref="C4:J4"/>
    <mergeCell ref="C6:J6"/>
    <mergeCell ref="C7:J7"/>
    <mergeCell ref="C9:J9"/>
    <mergeCell ref="C10:J10"/>
    <mergeCell ref="C12:J12"/>
    <mergeCell ref="C13:J13"/>
    <mergeCell ref="C15:J15"/>
    <mergeCell ref="D16:J16"/>
    <mergeCell ref="D17:J17"/>
    <mergeCell ref="D18:J18"/>
    <mergeCell ref="D19:J19"/>
    <mergeCell ref="D20:J20"/>
    <mergeCell ref="D21:J21"/>
    <mergeCell ref="D22:J22"/>
    <mergeCell ref="D23:J23"/>
    <mergeCell ref="C25:J25"/>
    <mergeCell ref="D26:J26"/>
    <mergeCell ref="D27:J27"/>
    <mergeCell ref="D28:J28"/>
    <mergeCell ref="C30:J30"/>
    <mergeCell ref="C31:J31"/>
    <mergeCell ref="C32:J32"/>
    <mergeCell ref="C33:J33"/>
    <mergeCell ref="C34:J34"/>
    <mergeCell ref="C35:J35"/>
  </mergeCells>
  <hyperlinks>
    <hyperlink ref="C16" r:id="rId1" location="'Setup'!A1" display="Setup"/>
    <hyperlink ref="C17" r:id="rId2" location="'Content%20Log'!A1" display="Content Log"/>
    <hyperlink ref="C18" r:id="rId3" location="'Monthly%20Calendar'!A1" display="Monthly Calendar"/>
    <hyperlink ref="C19" r:id="rId4" location="'Weekly%20View'!A1" display="Weekly View"/>
    <hyperlink ref="C20" r:id="rId5" location="'Dashboard'!A1" display="Dashboard"/>
    <hyperlink ref="C21" r:id="rId6" location="'Growth%20Tracker'!A1" display="Growth Tracker"/>
    <hyperlink ref="C22" r:id="rId7" location="'Ideas%20Bank'!A1" display="Ideas Bank"/>
    <hyperlink ref="C23" r:id="rId8" location="'Hashtag%20Bank'!A1" display="Hashtag Ban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6575"/>
    <pageSetUpPr fitToPage="true"/>
  </sheetPr>
  <dimension ref="A1:R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5" min="4" style="0" width="13"/>
    <col collapsed="false" customWidth="true" hidden="false" outlineLevel="0" max="6" min="6" style="0" width="3"/>
    <col collapsed="false" customWidth="true" hidden="false" outlineLevel="0" max="7" min="7" style="0" width="16"/>
    <col collapsed="false" customWidth="true" hidden="false" outlineLevel="0" max="8" min="8" style="0" width="30"/>
    <col collapsed="false" customWidth="true" hidden="false" outlineLevel="0" max="9" min="9" style="0" width="11"/>
    <col collapsed="false" customWidth="true" hidden="false" outlineLevel="0" max="10" min="10" style="0" width="3"/>
    <col collapsed="false" customWidth="true" hidden="false" outlineLevel="0" max="11" min="11" style="0" width="18"/>
    <col collapsed="false" customWidth="true" hidden="false" outlineLevel="0" max="12" min="12" style="0" width="3"/>
    <col collapsed="false" customWidth="true" hidden="false" outlineLevel="0" max="13" min="13" style="0" width="13"/>
    <col collapsed="false" customWidth="true" hidden="false" outlineLevel="0" max="14" min="14" style="0" width="7"/>
    <col collapsed="false" customWidth="true" hidden="false" outlineLevel="0" max="15" min="15" style="0" width="3"/>
    <col collapsed="false" customWidth="true" hidden="false" outlineLevel="0" max="16" min="16" style="0" width="18"/>
    <col collapsed="false" customWidth="true" hidden="false" outlineLevel="0" max="17" min="17" style="0" width="3"/>
    <col collapsed="false" customWidth="true" hidden="false" outlineLevel="0" max="18" min="18" style="0" width="12"/>
  </cols>
  <sheetData>
    <row r="1" customFormat="false" ht="33.75" hidden="false" customHeight="true" outlineLevel="0" collapsed="false">
      <c r="B1" s="1" t="s">
        <v>39</v>
      </c>
    </row>
    <row r="2" customFormat="false" ht="19.5" hidden="false" customHeight="true" outlineLevel="0" collapsed="false">
      <c r="A2" s="2"/>
      <c r="B2" s="3" t="s">
        <v>40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5" hidden="false" customHeight="true" outlineLevel="0" collapsed="false">
      <c r="B4" s="15" t="s">
        <v>41</v>
      </c>
      <c r="C4" s="16" t="s">
        <v>42</v>
      </c>
      <c r="D4" s="16"/>
      <c r="E4" s="16"/>
    </row>
    <row r="5" customFormat="false" ht="15" hidden="false" customHeight="false" outlineLevel="0" collapsed="false">
      <c r="B5" s="15" t="s">
        <v>43</v>
      </c>
      <c r="C5" s="16" t="s">
        <v>44</v>
      </c>
    </row>
    <row r="8" customFormat="false" ht="30" hidden="false" customHeight="true" outlineLevel="0" collapsed="false">
      <c r="B8" s="17" t="s">
        <v>45</v>
      </c>
      <c r="C8" s="17" t="s">
        <v>46</v>
      </c>
      <c r="D8" s="17" t="s">
        <v>47</v>
      </c>
      <c r="E8" s="17" t="s">
        <v>48</v>
      </c>
      <c r="F8" s="17" t="s">
        <v>49</v>
      </c>
      <c r="G8" s="17" t="s">
        <v>50</v>
      </c>
      <c r="H8" s="17" t="s">
        <v>51</v>
      </c>
      <c r="I8" s="17" t="s">
        <v>52</v>
      </c>
      <c r="K8" s="17" t="s">
        <v>53</v>
      </c>
      <c r="M8" s="18" t="s">
        <v>54</v>
      </c>
      <c r="N8" s="18" t="s">
        <v>55</v>
      </c>
      <c r="P8" s="17" t="s">
        <v>56</v>
      </c>
      <c r="R8" s="18" t="s">
        <v>57</v>
      </c>
    </row>
    <row r="9" customFormat="false" ht="15" hidden="false" customHeight="false" outlineLevel="0" collapsed="false">
      <c r="B9" s="16" t="s">
        <v>58</v>
      </c>
      <c r="C9" s="16" t="s">
        <v>59</v>
      </c>
      <c r="D9" s="19" t="n">
        <v>12</v>
      </c>
      <c r="E9" s="19" t="n">
        <v>2200</v>
      </c>
      <c r="F9" s="19" t="n">
        <v>30</v>
      </c>
      <c r="G9" s="16" t="s">
        <v>60</v>
      </c>
      <c r="H9" s="16" t="s">
        <v>61</v>
      </c>
      <c r="I9" s="20" t="n">
        <v>0.3</v>
      </c>
      <c r="K9" s="16" t="s">
        <v>62</v>
      </c>
      <c r="M9" s="21" t="s">
        <v>63</v>
      </c>
      <c r="N9" s="22" t="s">
        <v>64</v>
      </c>
      <c r="P9" s="16" t="s">
        <v>65</v>
      </c>
      <c r="R9" s="23" t="s">
        <v>66</v>
      </c>
    </row>
    <row r="10" customFormat="false" ht="15" hidden="false" customHeight="false" outlineLevel="0" collapsed="false">
      <c r="B10" s="16" t="s">
        <v>67</v>
      </c>
      <c r="C10" s="16" t="s">
        <v>59</v>
      </c>
      <c r="D10" s="19" t="n">
        <v>12</v>
      </c>
      <c r="E10" s="19" t="n">
        <v>4000</v>
      </c>
      <c r="F10" s="19" t="n">
        <v>10</v>
      </c>
      <c r="G10" s="16" t="s">
        <v>68</v>
      </c>
      <c r="H10" s="16" t="s">
        <v>69</v>
      </c>
      <c r="I10" s="20" t="n">
        <v>0.2</v>
      </c>
      <c r="K10" s="16" t="s">
        <v>70</v>
      </c>
      <c r="M10" s="24" t="s">
        <v>71</v>
      </c>
      <c r="N10" s="25" t="s">
        <v>72</v>
      </c>
      <c r="P10" s="16" t="s">
        <v>73</v>
      </c>
      <c r="R10" s="23" t="s">
        <v>74</v>
      </c>
    </row>
    <row r="11" customFormat="false" ht="15" hidden="false" customHeight="false" outlineLevel="0" collapsed="false">
      <c r="B11" s="16" t="s">
        <v>75</v>
      </c>
      <c r="C11" s="16" t="s">
        <v>59</v>
      </c>
      <c r="D11" s="19" t="n">
        <v>4</v>
      </c>
      <c r="E11" s="19" t="n">
        <v>5000</v>
      </c>
      <c r="F11" s="19" t="n">
        <v>15</v>
      </c>
      <c r="G11" s="16" t="s">
        <v>76</v>
      </c>
      <c r="H11" s="16" t="s">
        <v>77</v>
      </c>
      <c r="I11" s="20" t="n">
        <v>0.2</v>
      </c>
      <c r="K11" s="16" t="s">
        <v>78</v>
      </c>
      <c r="M11" s="26" t="s">
        <v>79</v>
      </c>
      <c r="N11" s="27" t="s">
        <v>80</v>
      </c>
      <c r="P11" s="16" t="s">
        <v>81</v>
      </c>
      <c r="R11" s="23" t="s">
        <v>82</v>
      </c>
    </row>
    <row r="12" customFormat="false" ht="15" hidden="false" customHeight="false" outlineLevel="0" collapsed="false">
      <c r="B12" s="16" t="s">
        <v>83</v>
      </c>
      <c r="C12" s="16" t="s">
        <v>84</v>
      </c>
      <c r="D12" s="19" t="n">
        <v>8</v>
      </c>
      <c r="E12" s="19" t="n">
        <v>3000</v>
      </c>
      <c r="F12" s="19" t="n">
        <v>5</v>
      </c>
      <c r="G12" s="16" t="s">
        <v>85</v>
      </c>
      <c r="H12" s="16" t="s">
        <v>86</v>
      </c>
      <c r="I12" s="20" t="n">
        <v>0.15</v>
      </c>
      <c r="K12" s="16" t="s">
        <v>87</v>
      </c>
      <c r="M12" s="28" t="s">
        <v>88</v>
      </c>
      <c r="N12" s="29" t="s">
        <v>89</v>
      </c>
      <c r="P12" s="16" t="s">
        <v>90</v>
      </c>
      <c r="R12" s="23" t="s">
        <v>91</v>
      </c>
    </row>
    <row r="13" customFormat="false" ht="15" hidden="false" customHeight="false" outlineLevel="0" collapsed="false">
      <c r="B13" s="16" t="s">
        <v>92</v>
      </c>
      <c r="C13" s="16" t="s">
        <v>93</v>
      </c>
      <c r="D13" s="19" t="n">
        <v>8</v>
      </c>
      <c r="E13" s="19" t="n">
        <v>63206</v>
      </c>
      <c r="F13" s="19" t="n">
        <v>10</v>
      </c>
      <c r="G13" s="16" t="s">
        <v>94</v>
      </c>
      <c r="H13" s="16" t="s">
        <v>95</v>
      </c>
      <c r="I13" s="20" t="n">
        <v>0.15</v>
      </c>
      <c r="K13" s="16" t="s">
        <v>96</v>
      </c>
      <c r="M13" s="30" t="s">
        <v>97</v>
      </c>
      <c r="N13" s="31" t="s">
        <v>98</v>
      </c>
      <c r="P13" s="16"/>
      <c r="R13" s="23" t="s">
        <v>99</v>
      </c>
    </row>
    <row r="14" customFormat="false" ht="15" hidden="false" customHeight="false" outlineLevel="0" collapsed="false">
      <c r="B14" s="16" t="s">
        <v>100</v>
      </c>
      <c r="C14" s="16" t="s">
        <v>59</v>
      </c>
      <c r="D14" s="19" t="n">
        <v>10</v>
      </c>
      <c r="E14" s="19" t="n">
        <v>500</v>
      </c>
      <c r="F14" s="19" t="n">
        <v>20</v>
      </c>
      <c r="G14" s="16"/>
      <c r="H14" s="16"/>
      <c r="I14" s="20"/>
      <c r="K14" s="16" t="s">
        <v>101</v>
      </c>
      <c r="M14" s="32" t="s">
        <v>102</v>
      </c>
      <c r="N14" s="33" t="s">
        <v>103</v>
      </c>
      <c r="P14" s="16"/>
      <c r="R14" s="23" t="s">
        <v>104</v>
      </c>
    </row>
    <row r="15" customFormat="false" ht="15" hidden="false" customHeight="false" outlineLevel="0" collapsed="false">
      <c r="B15" s="16" t="s">
        <v>105</v>
      </c>
      <c r="C15" s="16" t="s">
        <v>59</v>
      </c>
      <c r="D15" s="19" t="n">
        <v>12</v>
      </c>
      <c r="E15" s="19" t="n">
        <v>280</v>
      </c>
      <c r="F15" s="19" t="n">
        <v>3</v>
      </c>
      <c r="G15" s="16"/>
      <c r="H15" s="16"/>
      <c r="I15" s="20"/>
      <c r="K15" s="16" t="s">
        <v>106</v>
      </c>
      <c r="M15" s="34" t="s">
        <v>107</v>
      </c>
      <c r="P15" s="16"/>
      <c r="R15" s="23" t="s">
        <v>108</v>
      </c>
    </row>
    <row r="16" customFormat="false" ht="15" hidden="false" customHeight="false" outlineLevel="0" collapsed="false">
      <c r="B16" s="16" t="s">
        <v>109</v>
      </c>
      <c r="C16" s="16" t="s">
        <v>59</v>
      </c>
      <c r="D16" s="19" t="n">
        <v>8</v>
      </c>
      <c r="E16" s="19" t="n">
        <v>500</v>
      </c>
      <c r="F16" s="19" t="n">
        <v>1</v>
      </c>
      <c r="G16" s="16"/>
      <c r="H16" s="16"/>
      <c r="I16" s="20"/>
      <c r="K16" s="16" t="s">
        <v>110</v>
      </c>
      <c r="P16" s="16"/>
      <c r="R16" s="23" t="s">
        <v>111</v>
      </c>
    </row>
    <row r="17" customFormat="false" ht="15" hidden="false" customHeight="false" outlineLevel="0" collapsed="false">
      <c r="B17" s="16"/>
      <c r="C17" s="16"/>
      <c r="D17" s="19"/>
      <c r="E17" s="19"/>
      <c r="F17" s="19"/>
      <c r="H17" s="35" t="s">
        <v>112</v>
      </c>
      <c r="I17" s="36" t="n">
        <f aca="false">SUM(I9:I16)</f>
        <v>1</v>
      </c>
      <c r="K17" s="16" t="s">
        <v>113</v>
      </c>
      <c r="R17" s="23" t="s">
        <v>114</v>
      </c>
    </row>
    <row r="18" customFormat="false" ht="15" hidden="false" customHeight="false" outlineLevel="0" collapsed="false">
      <c r="B18" s="16"/>
      <c r="C18" s="16"/>
      <c r="D18" s="19"/>
      <c r="E18" s="19"/>
      <c r="F18" s="19"/>
      <c r="K18" s="16" t="s">
        <v>115</v>
      </c>
      <c r="R18" s="23" t="s">
        <v>116</v>
      </c>
    </row>
    <row r="19" customFormat="false" ht="15" hidden="false" customHeight="false" outlineLevel="0" collapsed="false">
      <c r="K19" s="16" t="s">
        <v>117</v>
      </c>
      <c r="R19" s="23" t="s">
        <v>118</v>
      </c>
    </row>
    <row r="20" customFormat="false" ht="15" hidden="false" customHeight="false" outlineLevel="0" collapsed="false">
      <c r="K20" s="16" t="s">
        <v>119</v>
      </c>
      <c r="R20" s="23" t="s">
        <v>120</v>
      </c>
    </row>
    <row r="21" customFormat="false" ht="15" hidden="false" customHeight="true" outlineLevel="0" collapsed="false">
      <c r="B21" s="37" t="s">
        <v>121</v>
      </c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R21" s="23" t="s">
        <v>122</v>
      </c>
    </row>
    <row r="22" customFormat="false" ht="15" hidden="false" customHeight="false" outlineLevel="0" collapsed="false"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</row>
  </sheetData>
  <mergeCells count="2">
    <mergeCell ref="C4:E4"/>
    <mergeCell ref="B21:P22"/>
  </mergeCells>
  <conditionalFormatting sqref="I17">
    <cfRule type="expression" priority="2" aboveAverage="0" equalAverage="0" bottom="0" percent="0" rank="0" text="" dxfId="0">
      <formula>ROUND(I17,2)&lt;&gt;1</formula>
    </cfRule>
  </conditionalFormatting>
  <dataValidations count="1">
    <dataValidation allowBlank="true" error="Pick a value from the list (edit the list on the Setup tab)." errorStyle="warning" errorTitle="Not in list" operator="between" showDropDown="false" showErrorMessage="false" showInputMessage="false" sqref="C5" type="list">
      <formula1>"Sunday,Monday"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2A36"/>
    <pageSetUpPr fitToPage="false"/>
  </sheetPr>
  <dimension ref="A1:AG5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12"/>
    <col collapsed="false" customWidth="true" hidden="false" outlineLevel="0" max="2" min="2" style="0" width="6"/>
    <col collapsed="false" customWidth="true" hidden="false" outlineLevel="0" max="3" min="3" style="0" width="10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30"/>
    <col collapsed="false" customWidth="true" hidden="false" outlineLevel="0" max="9" min="9" style="0" width="40"/>
    <col collapsed="false" customWidth="true" hidden="false" outlineLevel="0" max="10" min="10" style="0" width="7"/>
    <col collapsed="false" customWidth="true" hidden="false" outlineLevel="0" max="11" min="11" style="0" width="18"/>
    <col collapsed="false" customWidth="true" hidden="false" outlineLevel="0" max="12" min="12" style="0" width="16"/>
    <col collapsed="false" customWidth="true" hidden="false" outlineLevel="0" max="13" min="13" style="0" width="7"/>
    <col collapsed="false" customWidth="true" hidden="false" outlineLevel="0" max="14" min="14" style="0" width="16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20"/>
    <col collapsed="false" customWidth="true" hidden="false" outlineLevel="0" max="18" min="18" style="0" width="16"/>
    <col collapsed="false" customWidth="true" hidden="false" outlineLevel="0" max="19" min="19" style="0" width="11"/>
    <col collapsed="false" customWidth="true" hidden="false" outlineLevel="0" max="20" min="20" style="0" width="10"/>
    <col collapsed="false" customWidth="true" hidden="false" outlineLevel="0" max="21" min="21" style="0" width="8"/>
    <col collapsed="false" customWidth="true" hidden="false" outlineLevel="0" max="22" min="22" style="0" width="10"/>
    <col collapsed="false" customWidth="true" hidden="false" outlineLevel="0" max="25" min="23" style="0" width="8"/>
    <col collapsed="false" customWidth="true" hidden="false" outlineLevel="0" max="26" min="26" style="0" width="12"/>
    <col collapsed="false" customWidth="true" hidden="false" outlineLevel="0" max="27" min="27" style="0" width="9"/>
    <col collapsed="false" customWidth="true" hidden="false" outlineLevel="0" max="28" min="28" style="0" width="24"/>
    <col collapsed="false" customWidth="true" hidden="true" outlineLevel="1" max="33" min="29" style="0" width="12"/>
  </cols>
  <sheetData>
    <row r="1" customFormat="false" ht="33.75" hidden="false" customHeight="true" outlineLevel="0" collapsed="false">
      <c r="B1" s="1" t="s">
        <v>123</v>
      </c>
    </row>
    <row r="2" customFormat="false" ht="19.5" hidden="false" customHeight="true" outlineLevel="0" collapsed="false">
      <c r="A2" s="2"/>
      <c r="B2" s="3" t="s">
        <v>124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customFormat="false" ht="18" hidden="false" customHeight="true" outlineLevel="0" collapsed="false">
      <c r="A3" s="38" t="s">
        <v>125</v>
      </c>
      <c r="S3" s="39" t="s">
        <v>126</v>
      </c>
      <c r="AC3" s="40" t="s">
        <v>127</v>
      </c>
    </row>
    <row r="4" customFormat="false" ht="30" hidden="false" customHeight="true" outlineLevel="0" collapsed="false">
      <c r="A4" s="17" t="s">
        <v>128</v>
      </c>
      <c r="B4" s="18" t="s">
        <v>129</v>
      </c>
      <c r="C4" s="17" t="s">
        <v>130</v>
      </c>
      <c r="D4" s="17" t="s">
        <v>45</v>
      </c>
      <c r="E4" s="17" t="s">
        <v>131</v>
      </c>
      <c r="F4" s="17" t="s">
        <v>132</v>
      </c>
      <c r="G4" s="17" t="s">
        <v>133</v>
      </c>
      <c r="H4" s="17" t="s">
        <v>134</v>
      </c>
      <c r="I4" s="17" t="s">
        <v>135</v>
      </c>
      <c r="J4" s="18" t="s">
        <v>136</v>
      </c>
      <c r="K4" s="17" t="s">
        <v>137</v>
      </c>
      <c r="L4" s="17" t="s">
        <v>138</v>
      </c>
      <c r="M4" s="18" t="s">
        <v>139</v>
      </c>
      <c r="N4" s="17" t="s">
        <v>140</v>
      </c>
      <c r="O4" s="17" t="s">
        <v>54</v>
      </c>
      <c r="P4" s="17" t="s">
        <v>141</v>
      </c>
      <c r="Q4" s="18" t="s">
        <v>142</v>
      </c>
      <c r="R4" s="17" t="s">
        <v>143</v>
      </c>
      <c r="S4" s="41" t="s">
        <v>144</v>
      </c>
      <c r="T4" s="41" t="s">
        <v>145</v>
      </c>
      <c r="U4" s="41" t="s">
        <v>146</v>
      </c>
      <c r="V4" s="41" t="s">
        <v>147</v>
      </c>
      <c r="W4" s="41" t="s">
        <v>148</v>
      </c>
      <c r="X4" s="41" t="s">
        <v>149</v>
      </c>
      <c r="Y4" s="41" t="s">
        <v>150</v>
      </c>
      <c r="Z4" s="18" t="s">
        <v>151</v>
      </c>
      <c r="AA4" s="18" t="s">
        <v>152</v>
      </c>
      <c r="AB4" s="17" t="s">
        <v>153</v>
      </c>
      <c r="AC4" s="42" t="s">
        <v>154</v>
      </c>
      <c r="AD4" s="42" t="s">
        <v>155</v>
      </c>
      <c r="AE4" s="42" t="s">
        <v>156</v>
      </c>
      <c r="AF4" s="42" t="s">
        <v>157</v>
      </c>
      <c r="AG4" s="42" t="s">
        <v>158</v>
      </c>
    </row>
    <row r="5" customFormat="false" ht="37.3" hidden="false" customHeight="false" outlineLevel="0" collapsed="false">
      <c r="A5" s="43" t="n">
        <v>46287</v>
      </c>
      <c r="B5" s="11" t="str">
        <f aca="false">IF(A5="","",TEXT(A5,"ddd"))</f>
        <v>Tue</v>
      </c>
      <c r="C5" s="44" t="n">
        <v>0.375</v>
      </c>
      <c r="D5" s="16" t="s">
        <v>58</v>
      </c>
      <c r="E5" s="16" t="s">
        <v>70</v>
      </c>
      <c r="F5" s="16" t="s">
        <v>60</v>
      </c>
      <c r="G5" s="16" t="s">
        <v>159</v>
      </c>
      <c r="H5" s="45" t="s">
        <v>160</v>
      </c>
      <c r="I5" s="45" t="s">
        <v>161</v>
      </c>
      <c r="J5" s="11" t="n">
        <f aca="false">IF(I5="","",LEN(I5))</f>
        <v>64</v>
      </c>
      <c r="K5" s="16" t="s">
        <v>162</v>
      </c>
      <c r="L5" s="16" t="s">
        <v>163</v>
      </c>
      <c r="M5" s="11" t="n">
        <f aca="false">IF(L5="","",IFERROR(INDEX('Hashtag Bank'!$E$5:$E$104,MATCH(L5,'Hashtag Bank'!$B$5:$B$104,0)),""))</f>
        <v>8</v>
      </c>
      <c r="N5" s="16"/>
      <c r="O5" s="16" t="s">
        <v>97</v>
      </c>
      <c r="P5" s="16" t="s">
        <v>65</v>
      </c>
      <c r="Q5" s="46" t="str">
        <f aca="true">IF(A5&amp;H5="","",TRIM(IF(AND(A5&lt;&gt;"",A5&lt;TODAY(),O5&lt;&gt;"Published",O5&lt;&gt;"Repurpose"),"⚠ Overdue ","")&amp;IF(AND(J5&lt;&gt;"",D5&lt;&gt;"",IFERROR(J5&gt;INDEX(Setup!$E$9:$E$18,MATCH(D5,Setup!$B$9:$B$18,0)),FALSE())),"✂ Caption too long ","")&amp;IF(AND(M5&lt;&gt;"",D5&lt;&gt;"",IFERROR(M5&gt;INDEX(Setup!$F$9:$F$18,MATCH(D5,Setup!$B$9:$B$18,0)),FALSE())),"# Too many tags","")))</f>
        <v/>
      </c>
      <c r="R5" s="16"/>
      <c r="S5" s="19" t="n">
        <v>8420</v>
      </c>
      <c r="T5" s="19" t="n">
        <v>6110</v>
      </c>
      <c r="U5" s="19" t="n">
        <v>512</v>
      </c>
      <c r="V5" s="19" t="n">
        <v>48</v>
      </c>
      <c r="W5" s="19" t="n">
        <v>66</v>
      </c>
      <c r="X5" s="19" t="n">
        <v>301</v>
      </c>
      <c r="Y5" s="19" t="n">
        <v>40</v>
      </c>
      <c r="Z5" s="47" t="n">
        <f aca="false">IF(COUNT(U5:X5)=0,"",SUM(U5:X5))</f>
        <v>927</v>
      </c>
      <c r="AA5" s="48" t="n">
        <f aca="false">IF(OR(Z5="",N(T5)=0),"",Z5/T5)</f>
        <v>0.151718494271686</v>
      </c>
      <c r="AB5" s="49" t="s">
        <v>164</v>
      </c>
      <c r="AC5" s="50" t="n">
        <f aca="false">IF(A5="","",A5+N(C5)+ROW()/10^7)</f>
        <v>46287.3750005</v>
      </c>
      <c r="AD5" s="51" t="str">
        <f aca="false">IF(A5="","",TEXT(A5,"0")&amp;"|"&amp;COUNTIFS('Content Log'!$A$5:$A$504,A5,'Content Log'!$AC$5:$AC$504,"&lt;="&amp;AC5))</f>
        <v>46287|1</v>
      </c>
      <c r="AE5" s="51" t="str">
        <f aca="false">IF(A5="","",IFERROR(INDEX(Setup!$N$9:$N$14,MATCH(O5,Setup!$M$9:$M$14,0))&amp;" ","")&amp;IF(C5="","",TEXT(C5,"h:mm AM/PM")&amp;" ")&amp;D5&amp;IF(H5="",""," · "&amp;H5))</f>
        <v>✅ 9:00 AM Instagram · 5 mistakes killing your reach</v>
      </c>
      <c r="AF5" s="51" t="str">
        <f aca="false">IF(OR(A5="",AA5=""),"",IF(AND(A5&gt;=Dashboard!$G$4,A5&lt;=Dashboard!$I$4),AA5+ROW()/10^9,""))</f>
        <v/>
      </c>
      <c r="AG5" s="51" t="n">
        <f aca="false">IF(A5="","",WEEKDAY(A5,2))</f>
        <v>2</v>
      </c>
    </row>
    <row r="6" customFormat="false" ht="19.4" hidden="false" customHeight="false" outlineLevel="0" collapsed="false">
      <c r="A6" s="43" t="n">
        <v>46289</v>
      </c>
      <c r="B6" s="11" t="str">
        <f aca="false">IF(A6="","",TEXT(A6,"ddd"))</f>
        <v>Thu</v>
      </c>
      <c r="C6" s="44" t="n">
        <v>0.75</v>
      </c>
      <c r="D6" s="16" t="s">
        <v>67</v>
      </c>
      <c r="E6" s="16" t="s">
        <v>62</v>
      </c>
      <c r="F6" s="16" t="s">
        <v>76</v>
      </c>
      <c r="G6" s="16" t="s">
        <v>159</v>
      </c>
      <c r="H6" s="45" t="s">
        <v>165</v>
      </c>
      <c r="I6" s="45" t="s">
        <v>166</v>
      </c>
      <c r="J6" s="11" t="n">
        <f aca="false">IF(I6="","",LEN(I6))</f>
        <v>45</v>
      </c>
      <c r="K6" s="16" t="s">
        <v>167</v>
      </c>
      <c r="L6" s="16" t="s">
        <v>168</v>
      </c>
      <c r="M6" s="11" t="n">
        <f aca="false">IF(L6="","",IFERROR(INDEX('Hashtag Bank'!$E$5:$E$104,MATCH(L6,'Hashtag Bank'!$B$5:$B$104,0)),""))</f>
        <v>4</v>
      </c>
      <c r="N6" s="16"/>
      <c r="O6" s="16" t="s">
        <v>97</v>
      </c>
      <c r="P6" s="16" t="s">
        <v>81</v>
      </c>
      <c r="Q6" s="46" t="str">
        <f aca="true">IF(A6&amp;H6="","",TRIM(IF(AND(A6&lt;&gt;"",A6&lt;TODAY(),O6&lt;&gt;"Published",O6&lt;&gt;"Repurpose"),"⚠ Overdue ","")&amp;IF(AND(J6&lt;&gt;"",D6&lt;&gt;"",IFERROR(J6&gt;INDEX(Setup!$E$9:$E$18,MATCH(D6,Setup!$B$9:$B$18,0)),FALSE())),"✂ Caption too long ","")&amp;IF(AND(M6&lt;&gt;"",D6&lt;&gt;"",IFERROR(M6&gt;INDEX(Setup!$F$9:$F$18,MATCH(D6,Setup!$B$9:$B$18,0)),FALSE())),"# Too many tags","")))</f>
        <v/>
      </c>
      <c r="R6" s="16"/>
      <c r="S6" s="19" t="n">
        <v>21800</v>
      </c>
      <c r="T6" s="19" t="n">
        <v>17400</v>
      </c>
      <c r="U6" s="19" t="n">
        <v>1490</v>
      </c>
      <c r="V6" s="19" t="n">
        <v>112</v>
      </c>
      <c r="W6" s="19" t="n">
        <v>240</v>
      </c>
      <c r="X6" s="19" t="n">
        <v>95</v>
      </c>
      <c r="Y6" s="19" t="n">
        <v>0</v>
      </c>
      <c r="Z6" s="47" t="n">
        <f aca="false">IF(COUNT(U6:X6)=0,"",SUM(U6:X6))</f>
        <v>1937</v>
      </c>
      <c r="AA6" s="48" t="n">
        <f aca="false">IF(OR(Z6="",N(T6)=0),"",Z6/T6)</f>
        <v>0.11132183908046</v>
      </c>
      <c r="AB6" s="45"/>
      <c r="AC6" s="50" t="n">
        <f aca="false">IF(A6="","",A6+N(C6)+ROW()/10^7)</f>
        <v>46289.7500006</v>
      </c>
      <c r="AD6" s="51" t="str">
        <f aca="false">IF(A6="","",TEXT(A6,"0")&amp;"|"&amp;COUNTIFS('Content Log'!$A$5:$A$504,A6,'Content Log'!$AC$5:$AC$504,"&lt;="&amp;AC6))</f>
        <v>46289|1</v>
      </c>
      <c r="AE6" s="51" t="str">
        <f aca="false">IF(A6="","",IFERROR(INDEX(Setup!$N$9:$N$14,MATCH(O6,Setup!$M$9:$M$14,0))&amp;" ","")&amp;IF(C6="","",TEXT(C6,"h:mm AM/PM")&amp;" ")&amp;D6&amp;IF(H6="",""," · "&amp;H6))</f>
        <v>✅ 6:00 PM TikTok · POV: it's launch day</v>
      </c>
      <c r="AF6" s="51" t="str">
        <f aca="false">IF(OR(A6="",AA6=""),"",IF(AND(A6&gt;=Dashboard!$G$4,A6&lt;=Dashboard!$I$4),AA6+ROW()/10^9,""))</f>
        <v/>
      </c>
      <c r="AG6" s="51" t="n">
        <f aca="false">IF(A6="","",WEEKDAY(A6,2))</f>
        <v>4</v>
      </c>
    </row>
    <row r="7" customFormat="false" ht="37.3" hidden="false" customHeight="false" outlineLevel="0" collapsed="false">
      <c r="A7" s="43" t="n">
        <v>46291</v>
      </c>
      <c r="B7" s="11" t="str">
        <f aca="false">IF(A7="","",TEXT(A7,"ddd"))</f>
        <v>Sat</v>
      </c>
      <c r="C7" s="44" t="n">
        <v>0.5</v>
      </c>
      <c r="D7" s="16" t="s">
        <v>83</v>
      </c>
      <c r="E7" s="16" t="s">
        <v>106</v>
      </c>
      <c r="F7" s="16" t="s">
        <v>68</v>
      </c>
      <c r="G7" s="16" t="s">
        <v>169</v>
      </c>
      <c r="H7" s="45" t="s">
        <v>170</v>
      </c>
      <c r="I7" s="45" t="s">
        <v>171</v>
      </c>
      <c r="J7" s="11" t="n">
        <f aca="false">IF(I7="","",LEN(I7))</f>
        <v>63</v>
      </c>
      <c r="K7" s="16" t="s">
        <v>172</v>
      </c>
      <c r="L7" s="16" t="s">
        <v>173</v>
      </c>
      <c r="M7" s="11" t="n">
        <f aca="false">IF(L7="","",IFERROR(INDEX('Hashtag Bank'!$E$5:$E$104,MATCH(L7,'Hashtag Bank'!$B$5:$B$104,0)),""))</f>
        <v>3</v>
      </c>
      <c r="N7" s="16"/>
      <c r="O7" s="16" t="s">
        <v>97</v>
      </c>
      <c r="P7" s="16" t="s">
        <v>65</v>
      </c>
      <c r="Q7" s="46" t="str">
        <f aca="true">IF(A7&amp;H7="","",TRIM(IF(AND(A7&lt;&gt;"",A7&lt;TODAY(),O7&lt;&gt;"Published",O7&lt;&gt;"Repurpose"),"⚠ Overdue ","")&amp;IF(AND(J7&lt;&gt;"",D7&lt;&gt;"",IFERROR(J7&gt;INDEX(Setup!$E$9:$E$18,MATCH(D7,Setup!$B$9:$B$18,0)),FALSE())),"✂ Caption too long ","")&amp;IF(AND(M7&lt;&gt;"",D7&lt;&gt;"",IFERROR(M7&gt;INDEX(Setup!$F$9:$F$18,MATCH(D7,Setup!$B$9:$B$18,0)),FALSE())),"# Too many tags","")))</f>
        <v/>
      </c>
      <c r="R7" s="16"/>
      <c r="S7" s="19" t="n">
        <v>5300</v>
      </c>
      <c r="T7" s="19" t="n">
        <v>3900</v>
      </c>
      <c r="U7" s="19" t="n">
        <v>210</v>
      </c>
      <c r="V7" s="19" t="n">
        <v>34</v>
      </c>
      <c r="W7" s="19" t="n">
        <v>18</v>
      </c>
      <c r="X7" s="19" t="n">
        <v>12</v>
      </c>
      <c r="Y7" s="19" t="n">
        <v>61</v>
      </c>
      <c r="Z7" s="47" t="n">
        <f aca="false">IF(COUNT(U7:X7)=0,"",SUM(U7:X7))</f>
        <v>274</v>
      </c>
      <c r="AA7" s="48" t="n">
        <f aca="false">IF(OR(Z7="",N(T7)=0),"",Z7/T7)</f>
        <v>0.0702564102564103</v>
      </c>
      <c r="AB7" s="45"/>
      <c r="AC7" s="50" t="n">
        <f aca="false">IF(A7="","",A7+N(C7)+ROW()/10^7)</f>
        <v>46291.5000007</v>
      </c>
      <c r="AD7" s="51" t="str">
        <f aca="false">IF(A7="","",TEXT(A7,"0")&amp;"|"&amp;COUNTIFS('Content Log'!$A$5:$A$504,A7,'Content Log'!$AC$5:$AC$504,"&lt;="&amp;AC7))</f>
        <v>46291|1</v>
      </c>
      <c r="AE7" s="51" t="str">
        <f aca="false">IF(A7="","",IFERROR(INDEX(Setup!$N$9:$N$14,MATCH(O7,Setup!$M$9:$M$14,0))&amp;" ","")&amp;IF(C7="","",TEXT(C7,"h:mm AM/PM")&amp;" ")&amp;D7&amp;IF(H7="",""," · "&amp;H7))</f>
        <v>✅ 12:00 PM LinkedIn · What 3 years of posting taught me</v>
      </c>
      <c r="AF7" s="51" t="str">
        <f aca="false">IF(OR(A7="",AA7=""),"",IF(AND(A7&gt;=Dashboard!$G$4,A7&lt;=Dashboard!$I$4),AA7+ROW()/10^9,""))</f>
        <v/>
      </c>
      <c r="AG7" s="51" t="n">
        <f aca="false">IF(A7="","",WEEKDAY(A7,2))</f>
        <v>6</v>
      </c>
    </row>
    <row r="8" customFormat="false" ht="28.35" hidden="false" customHeight="false" outlineLevel="0" collapsed="false">
      <c r="A8" s="43" t="n">
        <v>46294</v>
      </c>
      <c r="B8" s="11" t="str">
        <f aca="false">IF(A8="","",TEXT(A8,"ddd"))</f>
        <v>Tue</v>
      </c>
      <c r="C8" s="44" t="n">
        <v>0.416666666666667</v>
      </c>
      <c r="D8" s="16" t="s">
        <v>100</v>
      </c>
      <c r="E8" s="16" t="s">
        <v>113</v>
      </c>
      <c r="F8" s="16" t="s">
        <v>60</v>
      </c>
      <c r="G8" s="16" t="s">
        <v>159</v>
      </c>
      <c r="H8" s="45" t="s">
        <v>174</v>
      </c>
      <c r="I8" s="45" t="s">
        <v>175</v>
      </c>
      <c r="J8" s="11" t="n">
        <f aca="false">IF(I8="","",LEN(I8))</f>
        <v>57</v>
      </c>
      <c r="K8" s="16" t="s">
        <v>176</v>
      </c>
      <c r="L8" s="16" t="s">
        <v>177</v>
      </c>
      <c r="M8" s="11" t="n">
        <f aca="false">IF(L8="","",IFERROR(INDEX('Hashtag Bank'!$E$5:$E$104,MATCH(L8,'Hashtag Bank'!$B$5:$B$104,0)),""))</f>
        <v>3</v>
      </c>
      <c r="N8" s="16"/>
      <c r="O8" s="16" t="s">
        <v>97</v>
      </c>
      <c r="P8" s="16" t="s">
        <v>73</v>
      </c>
      <c r="Q8" s="46" t="str">
        <f aca="true">IF(A8&amp;H8="","",TRIM(IF(AND(A8&lt;&gt;"",A8&lt;TODAY(),O8&lt;&gt;"Published",O8&lt;&gt;"Repurpose"),"⚠ Overdue ","")&amp;IF(AND(J8&lt;&gt;"",D8&lt;&gt;"",IFERROR(J8&gt;INDEX(Setup!$E$9:$E$18,MATCH(D8,Setup!$B$9:$B$18,0)),FALSE())),"✂ Caption too long ","")&amp;IF(AND(M8&lt;&gt;"",D8&lt;&gt;"",IFERROR(M8&gt;INDEX(Setup!$F$9:$F$18,MATCH(D8,Setup!$B$9:$B$18,0)),FALSE())),"# Too many tags","")))</f>
        <v/>
      </c>
      <c r="R8" s="16"/>
      <c r="S8" s="19" t="n">
        <v>12600</v>
      </c>
      <c r="T8" s="19" t="n">
        <v>9800</v>
      </c>
      <c r="U8" s="19" t="n">
        <v>140</v>
      </c>
      <c r="V8" s="19" t="n">
        <v>3</v>
      </c>
      <c r="W8" s="19" t="n">
        <v>25</v>
      </c>
      <c r="X8" s="19" t="n">
        <v>410</v>
      </c>
      <c r="Y8" s="19" t="n">
        <v>288</v>
      </c>
      <c r="Z8" s="47" t="n">
        <f aca="false">IF(COUNT(U8:X8)=0,"",SUM(U8:X8))</f>
        <v>578</v>
      </c>
      <c r="AA8" s="48" t="n">
        <f aca="false">IF(OR(Z8="",N(T8)=0),"",Z8/T8)</f>
        <v>0.0589795918367347</v>
      </c>
      <c r="AB8" s="45"/>
      <c r="AC8" s="50" t="n">
        <f aca="false">IF(A8="","",A8+N(C8)+ROW()/10^7)</f>
        <v>46294.4166674667</v>
      </c>
      <c r="AD8" s="51" t="str">
        <f aca="false">IF(A8="","",TEXT(A8,"0")&amp;"|"&amp;COUNTIFS('Content Log'!$A$5:$A$504,A8,'Content Log'!$AC$5:$AC$504,"&lt;="&amp;AC8))</f>
        <v>46294|1</v>
      </c>
      <c r="AE8" s="51" t="str">
        <f aca="false">IF(A8="","",IFERROR(INDEX(Setup!$N$9:$N$14,MATCH(O8,Setup!$M$9:$M$14,0))&amp;" ","")&amp;IF(C8="","",TEXT(C8,"h:mm AM/PM")&amp;" ")&amp;D8&amp;IF(H8="",""," · "&amp;H8))</f>
        <v>✅ 10:00 AM Pinterest · Content calendar template</v>
      </c>
      <c r="AF8" s="51" t="str">
        <f aca="false">IF(OR(A8="",AA8=""),"",IF(AND(A8&gt;=Dashboard!$G$4,A8&lt;=Dashboard!$I$4),AA8+ROW()/10^9,""))</f>
        <v/>
      </c>
      <c r="AG8" s="51" t="n">
        <f aca="false">IF(A8="","",WEEKDAY(A8,2))</f>
        <v>2</v>
      </c>
    </row>
    <row r="9" customFormat="false" ht="28.35" hidden="false" customHeight="false" outlineLevel="0" collapsed="false">
      <c r="A9" s="43" t="n">
        <v>46296</v>
      </c>
      <c r="B9" s="11" t="str">
        <f aca="false">IF(A9="","",TEXT(A9,"ddd"))</f>
        <v>Thu</v>
      </c>
      <c r="C9" s="44" t="n">
        <v>0.375</v>
      </c>
      <c r="D9" s="16" t="s">
        <v>58</v>
      </c>
      <c r="E9" s="16" t="s">
        <v>62</v>
      </c>
      <c r="F9" s="16" t="s">
        <v>85</v>
      </c>
      <c r="G9" s="16" t="s">
        <v>178</v>
      </c>
      <c r="H9" s="45" t="s">
        <v>179</v>
      </c>
      <c r="I9" s="45" t="s">
        <v>180</v>
      </c>
      <c r="J9" s="11" t="n">
        <f aca="false">IF(I9="","",LEN(I9))</f>
        <v>51</v>
      </c>
      <c r="K9" s="16" t="s">
        <v>181</v>
      </c>
      <c r="L9" s="16" t="s">
        <v>182</v>
      </c>
      <c r="M9" s="11" t="n">
        <f aca="false">IF(L9="","",IFERROR(INDEX('Hashtag Bank'!$E$5:$E$104,MATCH(L9,'Hashtag Bank'!$B$5:$B$104,0)),""))</f>
        <v>5</v>
      </c>
      <c r="N9" s="16"/>
      <c r="O9" s="16" t="s">
        <v>97</v>
      </c>
      <c r="P9" s="16" t="s">
        <v>81</v>
      </c>
      <c r="Q9" s="46" t="str">
        <f aca="true">IF(A9&amp;H9="","",TRIM(IF(AND(A9&lt;&gt;"",A9&lt;TODAY(),O9&lt;&gt;"Published",O9&lt;&gt;"Repurpose"),"⚠ Overdue ","")&amp;IF(AND(J9&lt;&gt;"",D9&lt;&gt;"",IFERROR(J9&gt;INDEX(Setup!$E$9:$E$18,MATCH(D9,Setup!$B$9:$B$18,0)),FALSE())),"✂ Caption too long ","")&amp;IF(AND(M9&lt;&gt;"",D9&lt;&gt;"",IFERROR(M9&gt;INDEX(Setup!$F$9:$F$18,MATCH(D9,Setup!$B$9:$B$18,0)),FALSE())),"# Too many tags","")))</f>
        <v/>
      </c>
      <c r="R9" s="16"/>
      <c r="S9" s="19" t="n">
        <v>15400</v>
      </c>
      <c r="T9" s="19" t="n">
        <v>11900</v>
      </c>
      <c r="U9" s="19" t="n">
        <v>980</v>
      </c>
      <c r="V9" s="19" t="n">
        <v>87</v>
      </c>
      <c r="W9" s="19" t="n">
        <v>130</v>
      </c>
      <c r="X9" s="19" t="n">
        <v>210</v>
      </c>
      <c r="Y9" s="19" t="n">
        <v>155</v>
      </c>
      <c r="Z9" s="47" t="n">
        <f aca="false">IF(COUNT(U9:X9)=0,"",SUM(U9:X9))</f>
        <v>1407</v>
      </c>
      <c r="AA9" s="48" t="n">
        <f aca="false">IF(OR(Z9="",N(T9)=0),"",Z9/T9)</f>
        <v>0.118235294117647</v>
      </c>
      <c r="AB9" s="45"/>
      <c r="AC9" s="50" t="n">
        <f aca="false">IF(A9="","",A9+N(C9)+ROW()/10^7)</f>
        <v>46296.3750009</v>
      </c>
      <c r="AD9" s="51" t="str">
        <f aca="false">IF(A9="","",TEXT(A9,"0")&amp;"|"&amp;COUNTIFS('Content Log'!$A$5:$A$504,A9,'Content Log'!$AC$5:$AC$504,"&lt;="&amp;AC9))</f>
        <v>46296|1</v>
      </c>
      <c r="AE9" s="51" t="str">
        <f aca="false">IF(A9="","",IFERROR(INDEX(Setup!$N$9:$N$14,MATCH(O9,Setup!$M$9:$M$14,0))&amp;" ","")&amp;IF(C9="","",TEXT(C9,"h:mm AM/PM")&amp;" ")&amp;D9&amp;IF(H9="",""," · "&amp;H9))</f>
        <v>✅ 9:00 AM Instagram · Sneak peek: something new</v>
      </c>
      <c r="AF9" s="52" t="n">
        <f aca="false">IF(OR(A9="",AA9=""),"",IF(AND(A9&gt;=Dashboard!$G$4,A9&lt;=Dashboard!$I$4),AA9+ROW()/10^9,""))</f>
        <v>0.118235303117647</v>
      </c>
      <c r="AG9" s="51" t="n">
        <f aca="false">IF(A9="","",WEEKDAY(A9,2))</f>
        <v>4</v>
      </c>
    </row>
    <row r="10" customFormat="false" ht="28.35" hidden="false" customHeight="false" outlineLevel="0" collapsed="false">
      <c r="A10" s="43" t="n">
        <v>46296</v>
      </c>
      <c r="B10" s="11" t="str">
        <f aca="false">IF(A10="","",TEXT(A10,"ddd"))</f>
        <v>Thu</v>
      </c>
      <c r="C10" s="44" t="n">
        <v>0.708333333333333</v>
      </c>
      <c r="D10" s="16" t="s">
        <v>109</v>
      </c>
      <c r="E10" s="16" t="s">
        <v>106</v>
      </c>
      <c r="F10" s="16" t="s">
        <v>94</v>
      </c>
      <c r="G10" s="16"/>
      <c r="H10" s="45" t="s">
        <v>183</v>
      </c>
      <c r="I10" s="45" t="s">
        <v>184</v>
      </c>
      <c r="J10" s="11" t="n">
        <f aca="false">IF(I10="","",LEN(I10))</f>
        <v>43</v>
      </c>
      <c r="K10" s="16" t="s">
        <v>185</v>
      </c>
      <c r="L10" s="16"/>
      <c r="M10" s="11" t="str">
        <f aca="false">IF(L10="","",IFERROR(INDEX('Hashtag Bank'!$E$5:$E$104,MATCH(L10,'Hashtag Bank'!$B$5:$B$104,0)),""))</f>
        <v/>
      </c>
      <c r="N10" s="16"/>
      <c r="O10" s="16" t="s">
        <v>97</v>
      </c>
      <c r="P10" s="16" t="s">
        <v>65</v>
      </c>
      <c r="Q10" s="46" t="str">
        <f aca="true">IF(A10&amp;H10="","",TRIM(IF(AND(A10&lt;&gt;"",A10&lt;TODAY(),O10&lt;&gt;"Published",O10&lt;&gt;"Repurpose"),"⚠ Overdue ","")&amp;IF(AND(J10&lt;&gt;"",D10&lt;&gt;"",IFERROR(J10&gt;INDEX(Setup!$E$9:$E$18,MATCH(D10,Setup!$B$9:$B$18,0)),FALSE())),"✂ Caption too long ","")&amp;IF(AND(M10&lt;&gt;"",D10&lt;&gt;"",IFERROR(M10&gt;INDEX(Setup!$F$9:$F$18,MATCH(D10,Setup!$B$9:$B$18,0)),FALSE())),"# Too many tags","")))</f>
        <v/>
      </c>
      <c r="R10" s="16"/>
      <c r="S10" s="19" t="n">
        <v>2100</v>
      </c>
      <c r="T10" s="19" t="n">
        <v>1700</v>
      </c>
      <c r="U10" s="19" t="n">
        <v>96</v>
      </c>
      <c r="V10" s="19" t="n">
        <v>71</v>
      </c>
      <c r="W10" s="19" t="n">
        <v>4</v>
      </c>
      <c r="X10" s="19" t="n">
        <v>2</v>
      </c>
      <c r="Y10" s="19" t="n">
        <v>0</v>
      </c>
      <c r="Z10" s="47" t="n">
        <f aca="false">IF(COUNT(U10:X10)=0,"",SUM(U10:X10))</f>
        <v>173</v>
      </c>
      <c r="AA10" s="48" t="n">
        <f aca="false">IF(OR(Z10="",N(T10)=0),"",Z10/T10)</f>
        <v>0.101764705882353</v>
      </c>
      <c r="AB10" s="45"/>
      <c r="AC10" s="50" t="n">
        <f aca="false">IF(A10="","",A10+N(C10)+ROW()/10^7)</f>
        <v>46296.7083343333</v>
      </c>
      <c r="AD10" s="51" t="str">
        <f aca="false">IF(A10="","",TEXT(A10,"0")&amp;"|"&amp;COUNTIFS('Content Log'!$A$5:$A$504,A10,'Content Log'!$AC$5:$AC$504,"&lt;="&amp;AC10))</f>
        <v>46296|2</v>
      </c>
      <c r="AE10" s="51" t="str">
        <f aca="false">IF(A10="","",IFERROR(INDEX(Setup!$N$9:$N$14,MATCH(O10,Setup!$M$9:$M$14,0))&amp;" ","")&amp;IF(C10="","",TEXT(C10,"h:mm AM/PM")&amp;" ")&amp;D10&amp;IF(H10="",""," · "&amp;H10))</f>
        <v>✅ 5:00 PM Threads · Ask me anything Friday</v>
      </c>
      <c r="AF10" s="52" t="n">
        <f aca="false">IF(OR(A10="",AA10=""),"",IF(AND(A10&gt;=Dashboard!$G$4,A10&lt;=Dashboard!$I$4),AA10+ROW()/10^9,""))</f>
        <v>0.101764715882353</v>
      </c>
      <c r="AG10" s="51" t="n">
        <f aca="false">IF(A10="","",WEEKDAY(A10,2))</f>
        <v>4</v>
      </c>
    </row>
    <row r="11" customFormat="false" ht="37.3" hidden="false" customHeight="false" outlineLevel="0" collapsed="false">
      <c r="A11" s="43" t="n">
        <v>46297</v>
      </c>
      <c r="B11" s="11" t="str">
        <f aca="false">IF(A11="","",TEXT(A11,"ddd"))</f>
        <v>Fri</v>
      </c>
      <c r="C11" s="44" t="n">
        <v>0.458333333333333</v>
      </c>
      <c r="D11" s="16" t="s">
        <v>92</v>
      </c>
      <c r="E11" s="16" t="s">
        <v>78</v>
      </c>
      <c r="F11" s="16" t="s">
        <v>94</v>
      </c>
      <c r="G11" s="16"/>
      <c r="H11" s="45" t="s">
        <v>186</v>
      </c>
      <c r="I11" s="45" t="s">
        <v>187</v>
      </c>
      <c r="J11" s="11" t="n">
        <f aca="false">IF(I11="","",LEN(I11))</f>
        <v>59</v>
      </c>
      <c r="K11" s="16" t="s">
        <v>188</v>
      </c>
      <c r="L11" s="16"/>
      <c r="M11" s="11" t="str">
        <f aca="false">IF(L11="","",IFERROR(INDEX('Hashtag Bank'!$E$5:$E$104,MATCH(L11,'Hashtag Bank'!$B$5:$B$104,0)),""))</f>
        <v/>
      </c>
      <c r="N11" s="16"/>
      <c r="O11" s="16" t="s">
        <v>71</v>
      </c>
      <c r="P11" s="16" t="s">
        <v>90</v>
      </c>
      <c r="Q11" s="46" t="str">
        <f aca="true">IF(A11&amp;H11="","",TRIM(IF(AND(A11&lt;&gt;"",A11&lt;TODAY(),O11&lt;&gt;"Published",O11&lt;&gt;"Repurpose"),"⚠ Overdue ","")&amp;IF(AND(J11&lt;&gt;"",D11&lt;&gt;"",IFERROR(J11&gt;INDEX(Setup!$E$9:$E$18,MATCH(D11,Setup!$B$9:$B$18,0)),FALSE())),"✂ Caption too long ","")&amp;IF(AND(M11&lt;&gt;"",D11&lt;&gt;"",IFERROR(M11&gt;INDEX(Setup!$F$9:$F$18,MATCH(D11,Setup!$B$9:$B$18,0)),FALSE())),"# Too many tags","")))</f>
        <v>⚠ Overdue</v>
      </c>
      <c r="R11" s="16"/>
      <c r="S11" s="19"/>
      <c r="T11" s="19"/>
      <c r="U11" s="19"/>
      <c r="V11" s="19"/>
      <c r="W11" s="19"/>
      <c r="X11" s="19"/>
      <c r="Y11" s="19"/>
      <c r="Z11" s="47" t="str">
        <f aca="false">IF(COUNT(U11:X11)=0,"",SUM(U11:X11))</f>
        <v/>
      </c>
      <c r="AA11" s="48" t="str">
        <f aca="false">IF(OR(Z11="",N(T11)=0),"",Z11/T11)</f>
        <v/>
      </c>
      <c r="AB11" s="45"/>
      <c r="AC11" s="50" t="n">
        <f aca="false">IF(A11="","",A11+N(C11)+ROW()/10^7)</f>
        <v>46297.4583344333</v>
      </c>
      <c r="AD11" s="51" t="str">
        <f aca="false">IF(A11="","",TEXT(A11,"0")&amp;"|"&amp;COUNTIFS('Content Log'!$A$5:$A$504,A11,'Content Log'!$AC$5:$AC$504,"&lt;="&amp;AC11))</f>
        <v>46297|1</v>
      </c>
      <c r="AE11" s="51" t="str">
        <f aca="false">IF(A11="","",IFERROR(INDEX(Setup!$N$9:$N$14,MATCH(O11,Setup!$M$9:$M$14,0))&amp;" ","")&amp;IF(C11="","",TEXT(C11,"h:mm AM/PM")&amp;" ")&amp;D11&amp;IF(H11="",""," · "&amp;H11))</f>
        <v>✏️ 11:00 AM Facebook · Customer spotlight: Maya</v>
      </c>
      <c r="AF11" s="51" t="str">
        <f aca="false">IF(OR(A11="",AA11=""),"",IF(AND(A11&gt;=Dashboard!$G$4,A11&lt;=Dashboard!$I$4),AA11+ROW()/10^9,""))</f>
        <v/>
      </c>
      <c r="AG11" s="51" t="n">
        <f aca="false">IF(A11="","",WEEKDAY(A11,2))</f>
        <v>5</v>
      </c>
    </row>
    <row r="12" customFormat="false" ht="37.3" hidden="false" customHeight="false" outlineLevel="0" collapsed="false">
      <c r="A12" s="43" t="n">
        <v>46298</v>
      </c>
      <c r="B12" s="11" t="str">
        <f aca="false">IF(A12="","",TEXT(A12,"ddd"))</f>
        <v>Sat</v>
      </c>
      <c r="C12" s="44" t="n">
        <v>0.583333333333333</v>
      </c>
      <c r="D12" s="16" t="s">
        <v>75</v>
      </c>
      <c r="E12" s="16" t="s">
        <v>96</v>
      </c>
      <c r="F12" s="16" t="s">
        <v>60</v>
      </c>
      <c r="G12" s="16" t="s">
        <v>159</v>
      </c>
      <c r="H12" s="45" t="s">
        <v>189</v>
      </c>
      <c r="I12" s="45" t="s">
        <v>190</v>
      </c>
      <c r="J12" s="11" t="n">
        <f aca="false">IF(I12="","",LEN(I12))</f>
        <v>55</v>
      </c>
      <c r="K12" s="16" t="s">
        <v>191</v>
      </c>
      <c r="L12" s="16" t="s">
        <v>192</v>
      </c>
      <c r="M12" s="11" t="n">
        <f aca="false">IF(L12="","",IFERROR(INDEX('Hashtag Bank'!$E$5:$E$104,MATCH(L12,'Hashtag Bank'!$B$5:$B$104,0)),""))</f>
        <v>3</v>
      </c>
      <c r="N12" s="16"/>
      <c r="O12" s="16" t="s">
        <v>97</v>
      </c>
      <c r="P12" s="16" t="s">
        <v>81</v>
      </c>
      <c r="Q12" s="46" t="str">
        <f aca="true">IF(A12&amp;H12="","",TRIM(IF(AND(A12&lt;&gt;"",A12&lt;TODAY(),O12&lt;&gt;"Published",O12&lt;&gt;"Repurpose"),"⚠ Overdue ","")&amp;IF(AND(J12&lt;&gt;"",D12&lt;&gt;"",IFERROR(J12&gt;INDEX(Setup!$E$9:$E$18,MATCH(D12,Setup!$B$9:$B$18,0)),FALSE())),"✂ Caption too long ","")&amp;IF(AND(M12&lt;&gt;"",D12&lt;&gt;"",IFERROR(M12&gt;INDEX(Setup!$F$9:$F$18,MATCH(D12,Setup!$B$9:$B$18,0)),FALSE())),"# Too many tags","")))</f>
        <v/>
      </c>
      <c r="R12" s="16"/>
      <c r="S12" s="19" t="n">
        <v>9800</v>
      </c>
      <c r="T12" s="19" t="n">
        <v>7400</v>
      </c>
      <c r="U12" s="19" t="n">
        <v>620</v>
      </c>
      <c r="V12" s="19" t="n">
        <v>95</v>
      </c>
      <c r="W12" s="19" t="n">
        <v>41</v>
      </c>
      <c r="X12" s="19" t="n">
        <v>188</v>
      </c>
      <c r="Y12" s="19" t="n">
        <v>302</v>
      </c>
      <c r="Z12" s="47" t="n">
        <f aca="false">IF(COUNT(U12:X12)=0,"",SUM(U12:X12))</f>
        <v>944</v>
      </c>
      <c r="AA12" s="48" t="n">
        <f aca="false">IF(OR(Z12="",N(T12)=0),"",Z12/T12)</f>
        <v>0.127567567567568</v>
      </c>
      <c r="AB12" s="45"/>
      <c r="AC12" s="50" t="n">
        <f aca="false">IF(A12="","",A12+N(C12)+ROW()/10^7)</f>
        <v>46298.5833345333</v>
      </c>
      <c r="AD12" s="51" t="str">
        <f aca="false">IF(A12="","",TEXT(A12,"0")&amp;"|"&amp;COUNTIFS('Content Log'!$A$5:$A$504,A12,'Content Log'!$AC$5:$AC$504,"&lt;="&amp;AC12))</f>
        <v>46298|1</v>
      </c>
      <c r="AE12" s="51" t="str">
        <f aca="false">IF(A12="","",IFERROR(INDEX(Setup!$N$9:$N$14,MATCH(O12,Setup!$M$9:$M$14,0))&amp;" ","")&amp;IF(C12="","",TEXT(C12,"h:mm AM/PM")&amp;" ")&amp;D12&amp;IF(H12="",""," · "&amp;H12))</f>
        <v>✅ 2:00 PM YouTube · How I batch 30 posts in a day</v>
      </c>
      <c r="AF12" s="52" t="n">
        <f aca="false">IF(OR(A12="",AA12=""),"",IF(AND(A12&gt;=Dashboard!$G$4,A12&lt;=Dashboard!$I$4),AA12+ROW()/10^9,""))</f>
        <v>0.127567579567568</v>
      </c>
      <c r="AG12" s="51" t="n">
        <f aca="false">IF(A12="","",WEEKDAY(A12,2))</f>
        <v>6</v>
      </c>
    </row>
    <row r="13" customFormat="false" ht="28.35" hidden="false" customHeight="false" outlineLevel="0" collapsed="false">
      <c r="A13" s="43" t="n">
        <v>46298</v>
      </c>
      <c r="B13" s="11" t="str">
        <f aca="false">IF(A13="","",TEXT(A13,"ddd"))</f>
        <v>Sat</v>
      </c>
      <c r="C13" s="44" t="n">
        <v>0.791666666666667</v>
      </c>
      <c r="D13" s="16" t="s">
        <v>67</v>
      </c>
      <c r="E13" s="16" t="s">
        <v>62</v>
      </c>
      <c r="F13" s="16" t="s">
        <v>76</v>
      </c>
      <c r="G13" s="16"/>
      <c r="H13" s="45" t="s">
        <v>193</v>
      </c>
      <c r="I13" s="45" t="s">
        <v>194</v>
      </c>
      <c r="J13" s="11" t="n">
        <f aca="false">IF(I13="","",LEN(I13))</f>
        <v>52</v>
      </c>
      <c r="K13" s="16" t="s">
        <v>195</v>
      </c>
      <c r="L13" s="16" t="s">
        <v>168</v>
      </c>
      <c r="M13" s="11" t="n">
        <f aca="false">IF(L13="","",IFERROR(INDEX('Hashtag Bank'!$E$5:$E$104,MATCH(L13,'Hashtag Bank'!$B$5:$B$104,0)),""))</f>
        <v>4</v>
      </c>
      <c r="N13" s="16"/>
      <c r="O13" s="16" t="s">
        <v>97</v>
      </c>
      <c r="P13" s="16" t="s">
        <v>81</v>
      </c>
      <c r="Q13" s="46" t="str">
        <f aca="true">IF(A13&amp;H13="","",TRIM(IF(AND(A13&lt;&gt;"",A13&lt;TODAY(),O13&lt;&gt;"Published",O13&lt;&gt;"Repurpose"),"⚠ Overdue ","")&amp;IF(AND(J13&lt;&gt;"",D13&lt;&gt;"",IFERROR(J13&gt;INDEX(Setup!$E$9:$E$18,MATCH(D13,Setup!$B$9:$B$18,0)),FALSE())),"✂ Caption too long ","")&amp;IF(AND(M13&lt;&gt;"",D13&lt;&gt;"",IFERROR(M13&gt;INDEX(Setup!$F$9:$F$18,MATCH(D13,Setup!$B$9:$B$18,0)),FALSE())),"# Too many tags","")))</f>
        <v/>
      </c>
      <c r="R13" s="16"/>
      <c r="S13" s="19" t="n">
        <v>30500</v>
      </c>
      <c r="T13" s="19" t="n">
        <v>26100</v>
      </c>
      <c r="U13" s="19" t="n">
        <v>2390</v>
      </c>
      <c r="V13" s="19" t="n">
        <v>204</v>
      </c>
      <c r="W13" s="19" t="n">
        <v>410</v>
      </c>
      <c r="X13" s="19" t="n">
        <v>120</v>
      </c>
      <c r="Y13" s="19" t="n">
        <v>0</v>
      </c>
      <c r="Z13" s="47" t="n">
        <f aca="false">IF(COUNT(U13:X13)=0,"",SUM(U13:X13))</f>
        <v>3124</v>
      </c>
      <c r="AA13" s="48" t="n">
        <f aca="false">IF(OR(Z13="",N(T13)=0),"",Z13/T13)</f>
        <v>0.119693486590038</v>
      </c>
      <c r="AB13" s="45"/>
      <c r="AC13" s="50" t="n">
        <f aca="false">IF(A13="","",A13+N(C13)+ROW()/10^7)</f>
        <v>46298.7916679667</v>
      </c>
      <c r="AD13" s="51" t="str">
        <f aca="false">IF(A13="","",TEXT(A13,"0")&amp;"|"&amp;COUNTIFS('Content Log'!$A$5:$A$504,A13,'Content Log'!$AC$5:$AC$504,"&lt;="&amp;AC13))</f>
        <v>46298|2</v>
      </c>
      <c r="AE13" s="51" t="str">
        <f aca="false">IF(A13="","",IFERROR(INDEX(Setup!$N$9:$N$14,MATCH(O13,Setup!$M$9:$M$14,0))&amp;" ","")&amp;IF(C13="","",TEXT(C13,"h:mm AM/PM")&amp;" ")&amp;D13&amp;IF(H13="",""," · "&amp;H13))</f>
        <v>✅ 7:00 PM TikTok · Trend: 'tell me without telling me'</v>
      </c>
      <c r="AF13" s="52" t="n">
        <f aca="false">IF(OR(A13="",AA13=""),"",IF(AND(A13&gt;=Dashboard!$G$4,A13&lt;=Dashboard!$I$4),AA13+ROW()/10^9,""))</f>
        <v>0.119693499590038</v>
      </c>
      <c r="AG13" s="51" t="n">
        <f aca="false">IF(A13="","",WEEKDAY(A13,2))</f>
        <v>6</v>
      </c>
    </row>
    <row r="14" customFormat="false" ht="28.35" hidden="false" customHeight="false" outlineLevel="0" collapsed="false">
      <c r="A14" s="43" t="n">
        <v>46300</v>
      </c>
      <c r="B14" s="11" t="str">
        <f aca="false">IF(A14="","",TEXT(A14,"ddd"))</f>
        <v>Mon</v>
      </c>
      <c r="C14" s="44" t="n">
        <v>0.375</v>
      </c>
      <c r="D14" s="16" t="s">
        <v>58</v>
      </c>
      <c r="E14" s="16" t="s">
        <v>87</v>
      </c>
      <c r="F14" s="16" t="s">
        <v>94</v>
      </c>
      <c r="G14" s="16"/>
      <c r="H14" s="45" t="s">
        <v>196</v>
      </c>
      <c r="I14" s="45" t="s">
        <v>197</v>
      </c>
      <c r="J14" s="11" t="n">
        <f aca="false">IF(I14="","",LEN(I14))</f>
        <v>40</v>
      </c>
      <c r="K14" s="16" t="s">
        <v>198</v>
      </c>
      <c r="L14" s="16"/>
      <c r="M14" s="11" t="str">
        <f aca="false">IF(L14="","",IFERROR(INDEX('Hashtag Bank'!$E$5:$E$104,MATCH(L14,'Hashtag Bank'!$B$5:$B$104,0)),""))</f>
        <v/>
      </c>
      <c r="N14" s="16"/>
      <c r="O14" s="16" t="s">
        <v>88</v>
      </c>
      <c r="P14" s="16" t="s">
        <v>65</v>
      </c>
      <c r="Q14" s="46" t="str">
        <f aca="true">IF(A14&amp;H14="","",TRIM(IF(AND(A14&lt;&gt;"",A14&lt;TODAY(),O14&lt;&gt;"Published",O14&lt;&gt;"Repurpose"),"⚠ Overdue ","")&amp;IF(AND(J14&lt;&gt;"",D14&lt;&gt;"",IFERROR(J14&gt;INDEX(Setup!$E$9:$E$18,MATCH(D14,Setup!$B$9:$B$18,0)),FALSE())),"✂ Caption too long ","")&amp;IF(AND(M14&lt;&gt;"",D14&lt;&gt;"",IFERROR(M14&gt;INDEX(Setup!$F$9:$F$18,MATCH(D14,Setup!$B$9:$B$18,0)),FALSE())),"# Too many tags","")))</f>
        <v/>
      </c>
      <c r="R14" s="16"/>
      <c r="S14" s="19"/>
      <c r="T14" s="19"/>
      <c r="U14" s="19"/>
      <c r="V14" s="19"/>
      <c r="W14" s="19"/>
      <c r="X14" s="19"/>
      <c r="Y14" s="19"/>
      <c r="Z14" s="47" t="str">
        <f aca="false">IF(COUNT(U14:X14)=0,"",SUM(U14:X14))</f>
        <v/>
      </c>
      <c r="AA14" s="48" t="str">
        <f aca="false">IF(OR(Z14="",N(T14)=0),"",Z14/T14)</f>
        <v/>
      </c>
      <c r="AB14" s="45"/>
      <c r="AC14" s="50" t="n">
        <f aca="false">IF(A14="","",A14+N(C14)+ROW()/10^7)</f>
        <v>46300.3750014</v>
      </c>
      <c r="AD14" s="51" t="str">
        <f aca="false">IF(A14="","",TEXT(A14,"0")&amp;"|"&amp;COUNTIFS('Content Log'!$A$5:$A$504,A14,'Content Log'!$AC$5:$AC$504,"&lt;="&amp;AC14))</f>
        <v>46300|1</v>
      </c>
      <c r="AE14" s="51" t="str">
        <f aca="false">IF(A14="","",IFERROR(INDEX(Setup!$N$9:$N$14,MATCH(O14,Setup!$M$9:$M$14,0))&amp;" ","")&amp;IF(C14="","",TEXT(C14,"h:mm AM/PM")&amp;" ")&amp;D14&amp;IF(H14="",""," · "&amp;H14))</f>
        <v>🕒 9:00 AM Instagram · Poll: which colourway?</v>
      </c>
      <c r="AF14" s="51" t="str">
        <f aca="false">IF(OR(A14="",AA14=""),"",IF(AND(A14&gt;=Dashboard!$G$4,A14&lt;=Dashboard!$I$4),AA14+ROW()/10^9,""))</f>
        <v/>
      </c>
      <c r="AG14" s="51" t="n">
        <f aca="false">IF(A14="","",WEEKDAY(A14,2))</f>
        <v>1</v>
      </c>
    </row>
    <row r="15" customFormat="false" ht="37.3" hidden="false" customHeight="false" outlineLevel="0" collapsed="false">
      <c r="A15" s="43" t="n">
        <v>46301</v>
      </c>
      <c r="B15" s="11" t="str">
        <f aca="false">IF(A15="","",TEXT(A15,"ddd"))</f>
        <v>Tue</v>
      </c>
      <c r="C15" s="44" t="n">
        <v>0.5</v>
      </c>
      <c r="D15" s="16" t="s">
        <v>83</v>
      </c>
      <c r="E15" s="16" t="s">
        <v>70</v>
      </c>
      <c r="F15" s="16" t="s">
        <v>60</v>
      </c>
      <c r="G15" s="16" t="s">
        <v>159</v>
      </c>
      <c r="H15" s="45" t="s">
        <v>199</v>
      </c>
      <c r="I15" s="45" t="s">
        <v>200</v>
      </c>
      <c r="J15" s="11" t="n">
        <f aca="false">IF(I15="","",LEN(I15))</f>
        <v>65</v>
      </c>
      <c r="K15" s="16" t="s">
        <v>201</v>
      </c>
      <c r="L15" s="16" t="s">
        <v>173</v>
      </c>
      <c r="M15" s="11" t="n">
        <f aca="false">IF(L15="","",IFERROR(INDEX('Hashtag Bank'!$E$5:$E$104,MATCH(L15,'Hashtag Bank'!$B$5:$B$104,0)),""))</f>
        <v>3</v>
      </c>
      <c r="N15" s="16"/>
      <c r="O15" s="16" t="s">
        <v>88</v>
      </c>
      <c r="P15" s="16" t="s">
        <v>73</v>
      </c>
      <c r="Q15" s="46" t="str">
        <f aca="true">IF(A15&amp;H15="","",TRIM(IF(AND(A15&lt;&gt;"",A15&lt;TODAY(),O15&lt;&gt;"Published",O15&lt;&gt;"Repurpose"),"⚠ Overdue ","")&amp;IF(AND(J15&lt;&gt;"",D15&lt;&gt;"",IFERROR(J15&gt;INDEX(Setup!$E$9:$E$18,MATCH(D15,Setup!$B$9:$B$18,0)),FALSE())),"✂ Caption too long ","")&amp;IF(AND(M15&lt;&gt;"",D15&lt;&gt;"",IFERROR(M15&gt;INDEX(Setup!$F$9:$F$18,MATCH(D15,Setup!$B$9:$B$18,0)),FALSE())),"# Too many tags","")))</f>
        <v/>
      </c>
      <c r="R15" s="16"/>
      <c r="S15" s="19"/>
      <c r="T15" s="19"/>
      <c r="U15" s="19"/>
      <c r="V15" s="19"/>
      <c r="W15" s="19"/>
      <c r="X15" s="19"/>
      <c r="Y15" s="19"/>
      <c r="Z15" s="47" t="str">
        <f aca="false">IF(COUNT(U15:X15)=0,"",SUM(U15:X15))</f>
        <v/>
      </c>
      <c r="AA15" s="48" t="str">
        <f aca="false">IF(OR(Z15="",N(T15)=0),"",Z15/T15)</f>
        <v/>
      </c>
      <c r="AB15" s="45"/>
      <c r="AC15" s="50" t="n">
        <f aca="false">IF(A15="","",A15+N(C15)+ROW()/10^7)</f>
        <v>46301.5000015</v>
      </c>
      <c r="AD15" s="51" t="str">
        <f aca="false">IF(A15="","",TEXT(A15,"0")&amp;"|"&amp;COUNTIFS('Content Log'!$A$5:$A$504,A15,'Content Log'!$AC$5:$AC$504,"&lt;="&amp;AC15))</f>
        <v>46301|1</v>
      </c>
      <c r="AE15" s="51" t="str">
        <f aca="false">IF(A15="","",IFERROR(INDEX(Setup!$N$9:$N$14,MATCH(O15,Setup!$M$9:$M$14,0))&amp;" ","")&amp;IF(C15="","",TEXT(C15,"h:mm AM/PM")&amp;" ")&amp;D15&amp;IF(H15="",""," · "&amp;H15))</f>
        <v>🕒 12:00 PM LinkedIn · The 4-pillar content framework</v>
      </c>
      <c r="AF15" s="51" t="str">
        <f aca="false">IF(OR(A15="",AA15=""),"",IF(AND(A15&gt;=Dashboard!$G$4,A15&lt;=Dashboard!$I$4),AA15+ROW()/10^9,""))</f>
        <v/>
      </c>
      <c r="AG15" s="51" t="n">
        <f aca="false">IF(A15="","",WEEKDAY(A15,2))</f>
        <v>2</v>
      </c>
    </row>
    <row r="16" customFormat="false" ht="28.35" hidden="false" customHeight="false" outlineLevel="0" collapsed="false">
      <c r="A16" s="43" t="n">
        <v>46302</v>
      </c>
      <c r="B16" s="11" t="str">
        <f aca="false">IF(A16="","",TEXT(A16,"ddd"))</f>
        <v>Wed</v>
      </c>
      <c r="C16" s="44" t="n">
        <v>0.770833333333333</v>
      </c>
      <c r="D16" s="16" t="s">
        <v>105</v>
      </c>
      <c r="E16" s="16" t="s">
        <v>110</v>
      </c>
      <c r="F16" s="16" t="s">
        <v>60</v>
      </c>
      <c r="G16" s="16" t="s">
        <v>159</v>
      </c>
      <c r="H16" s="45" t="s">
        <v>202</v>
      </c>
      <c r="I16" s="45" t="s">
        <v>203</v>
      </c>
      <c r="J16" s="11" t="n">
        <f aca="false">IF(I16="","",LEN(I16))</f>
        <v>288</v>
      </c>
      <c r="K16" s="16" t="s">
        <v>204</v>
      </c>
      <c r="L16" s="16" t="s">
        <v>205</v>
      </c>
      <c r="M16" s="11" t="n">
        <f aca="false">IF(L16="","",IFERROR(INDEX('Hashtag Bank'!$E$5:$E$104,MATCH(L16,'Hashtag Bank'!$B$5:$B$104,0)),""))</f>
        <v>1</v>
      </c>
      <c r="N16" s="16"/>
      <c r="O16" s="16" t="s">
        <v>79</v>
      </c>
      <c r="P16" s="16" t="s">
        <v>65</v>
      </c>
      <c r="Q16" s="46" t="str">
        <f aca="true">IF(A16&amp;H16="","",TRIM(IF(AND(A16&lt;&gt;"",A16&lt;TODAY(),O16&lt;&gt;"Published",O16&lt;&gt;"Repurpose"),"⚠ Overdue ","")&amp;IF(AND(J16&lt;&gt;"",D16&lt;&gt;"",IFERROR(J16&gt;INDEX(Setup!$E$9:$E$18,MATCH(D16,Setup!$B$9:$B$18,0)),FALSE())),"✂ Caption too long ","")&amp;IF(AND(M16&lt;&gt;"",D16&lt;&gt;"",IFERROR(M16&gt;INDEX(Setup!$F$9:$F$18,MATCH(D16,Setup!$B$9:$B$18,0)),FALSE())),"# Too many tags","")))</f>
        <v>✂ Caption too long</v>
      </c>
      <c r="R16" s="16"/>
      <c r="S16" s="19"/>
      <c r="T16" s="19"/>
      <c r="U16" s="19"/>
      <c r="V16" s="19"/>
      <c r="W16" s="19"/>
      <c r="X16" s="19"/>
      <c r="Y16" s="19"/>
      <c r="Z16" s="47" t="str">
        <f aca="false">IF(COUNT(U16:X16)=0,"",SUM(U16:X16))</f>
        <v/>
      </c>
      <c r="AA16" s="48" t="str">
        <f aca="false">IF(OR(Z16="",N(T16)=0),"",Z16/T16)</f>
        <v/>
      </c>
      <c r="AB16" s="45"/>
      <c r="AC16" s="50" t="n">
        <f aca="false">IF(A16="","",A16+N(C16)+ROW()/10^7)</f>
        <v>46302.7708349333</v>
      </c>
      <c r="AD16" s="51" t="str">
        <f aca="false">IF(A16="","",TEXT(A16,"0")&amp;"|"&amp;COUNTIFS('Content Log'!$A$5:$A$504,A16,'Content Log'!$AC$5:$AC$504,"&lt;="&amp;AC16))</f>
        <v>46302|1</v>
      </c>
      <c r="AE16" s="51" t="str">
        <f aca="false">IF(A16="","",IFERROR(INDEX(Setup!$N$9:$N$14,MATCH(O16,Setup!$M$9:$M$14,0))&amp;" ","")&amp;IF(C16="","",TEXT(C16,"h:mm AM/PM")&amp;" ")&amp;D16&amp;IF(H16="",""," · "&amp;H16))</f>
        <v>👀 6:30 PM X / Twitter · Thread: my posting workflow</v>
      </c>
      <c r="AF16" s="51" t="str">
        <f aca="false">IF(OR(A16="",AA16=""),"",IF(AND(A16&gt;=Dashboard!$G$4,A16&lt;=Dashboard!$I$4),AA16+ROW()/10^9,""))</f>
        <v/>
      </c>
      <c r="AG16" s="51" t="n">
        <f aca="false">IF(A16="","",WEEKDAY(A16,2))</f>
        <v>3</v>
      </c>
    </row>
    <row r="17" customFormat="false" ht="28.35" hidden="false" customHeight="false" outlineLevel="0" collapsed="false">
      <c r="A17" s="43" t="n">
        <v>46303</v>
      </c>
      <c r="B17" s="11" t="str">
        <f aca="false">IF(A17="","",TEXT(A17,"ddd"))</f>
        <v>Thu</v>
      </c>
      <c r="C17" s="44" t="n">
        <v>0.416666666666667</v>
      </c>
      <c r="D17" s="16" t="s">
        <v>100</v>
      </c>
      <c r="E17" s="16" t="s">
        <v>113</v>
      </c>
      <c r="F17" s="16" t="s">
        <v>68</v>
      </c>
      <c r="G17" s="16" t="s">
        <v>178</v>
      </c>
      <c r="H17" s="45" t="s">
        <v>206</v>
      </c>
      <c r="I17" s="45" t="s">
        <v>207</v>
      </c>
      <c r="J17" s="11" t="n">
        <f aca="false">IF(I17="","",LEN(I17))</f>
        <v>48</v>
      </c>
      <c r="K17" s="16" t="s">
        <v>208</v>
      </c>
      <c r="L17" s="16" t="s">
        <v>177</v>
      </c>
      <c r="M17" s="11" t="n">
        <f aca="false">IF(L17="","",IFERROR(INDEX('Hashtag Bank'!$E$5:$E$104,MATCH(L17,'Hashtag Bank'!$B$5:$B$104,0)),""))</f>
        <v>3</v>
      </c>
      <c r="N17" s="16"/>
      <c r="O17" s="16" t="s">
        <v>88</v>
      </c>
      <c r="P17" s="16" t="s">
        <v>73</v>
      </c>
      <c r="Q17" s="46" t="str">
        <f aca="true">IF(A17&amp;H17="","",TRIM(IF(AND(A17&lt;&gt;"",A17&lt;TODAY(),O17&lt;&gt;"Published",O17&lt;&gt;"Repurpose"),"⚠ Overdue ","")&amp;IF(AND(J17&lt;&gt;"",D17&lt;&gt;"",IFERROR(J17&gt;INDEX(Setup!$E$9:$E$18,MATCH(D17,Setup!$B$9:$B$18,0)),FALSE())),"✂ Caption too long ","")&amp;IF(AND(M17&lt;&gt;"",D17&lt;&gt;"",IFERROR(M17&gt;INDEX(Setup!$F$9:$F$18,MATCH(D17,Setup!$B$9:$B$18,0)),FALSE())),"# Too many tags","")))</f>
        <v/>
      </c>
      <c r="R17" s="16"/>
      <c r="S17" s="19"/>
      <c r="T17" s="19"/>
      <c r="U17" s="19"/>
      <c r="V17" s="19"/>
      <c r="W17" s="19"/>
      <c r="X17" s="19"/>
      <c r="Y17" s="19"/>
      <c r="Z17" s="47" t="str">
        <f aca="false">IF(COUNT(U17:X17)=0,"",SUM(U17:X17))</f>
        <v/>
      </c>
      <c r="AA17" s="48" t="str">
        <f aca="false">IF(OR(Z17="",N(T17)=0),"",Z17/T17)</f>
        <v/>
      </c>
      <c r="AB17" s="45"/>
      <c r="AC17" s="50" t="n">
        <f aca="false">IF(A17="","",A17+N(C17)+ROW()/10^7)</f>
        <v>46303.4166683667</v>
      </c>
      <c r="AD17" s="51" t="str">
        <f aca="false">IF(A17="","",TEXT(A17,"0")&amp;"|"&amp;COUNTIFS('Content Log'!$A$5:$A$504,A17,'Content Log'!$AC$5:$AC$504,"&lt;="&amp;AC17))</f>
        <v>46303|1</v>
      </c>
      <c r="AE17" s="51" t="str">
        <f aca="false">IF(A17="","",IFERROR(INDEX(Setup!$N$9:$N$14,MATCH(O17,Setup!$M$9:$M$14,0))&amp;" ","")&amp;IF(C17="","",TEXT(C17,"h:mm AM/PM")&amp;" ")&amp;D17&amp;IF(H17="",""," · "&amp;H17))</f>
        <v>🕒 10:00 AM Pinterest · Cozy fall desk setup</v>
      </c>
      <c r="AF17" s="51" t="str">
        <f aca="false">IF(OR(A17="",AA17=""),"",IF(AND(A17&gt;=Dashboard!$G$4,A17&lt;=Dashboard!$I$4),AA17+ROW()/10^9,""))</f>
        <v/>
      </c>
      <c r="AG17" s="51" t="n">
        <f aca="false">IF(A17="","",WEEKDAY(A17,2))</f>
        <v>4</v>
      </c>
    </row>
    <row r="18" customFormat="false" ht="37.3" hidden="false" customHeight="false" outlineLevel="0" collapsed="false">
      <c r="A18" s="43" t="n">
        <v>46304</v>
      </c>
      <c r="B18" s="11" t="str">
        <f aca="false">IF(A18="","",TEXT(A18,"ddd"))</f>
        <v>Fri</v>
      </c>
      <c r="C18" s="44" t="n">
        <v>0.708333333333333</v>
      </c>
      <c r="D18" s="16" t="s">
        <v>58</v>
      </c>
      <c r="E18" s="16" t="s">
        <v>62</v>
      </c>
      <c r="F18" s="16" t="s">
        <v>76</v>
      </c>
      <c r="G18" s="16"/>
      <c r="H18" s="45" t="s">
        <v>209</v>
      </c>
      <c r="I18" s="45"/>
      <c r="J18" s="11" t="str">
        <f aca="false">IF(I18="","",LEN(I18))</f>
        <v/>
      </c>
      <c r="K18" s="16" t="s">
        <v>210</v>
      </c>
      <c r="L18" s="16" t="s">
        <v>163</v>
      </c>
      <c r="M18" s="11" t="n">
        <f aca="false">IF(L18="","",IFERROR(INDEX('Hashtag Bank'!$E$5:$E$104,MATCH(L18,'Hashtag Bank'!$B$5:$B$104,0)),""))</f>
        <v>8</v>
      </c>
      <c r="N18" s="16"/>
      <c r="O18" s="16" t="s">
        <v>71</v>
      </c>
      <c r="P18" s="16" t="s">
        <v>81</v>
      </c>
      <c r="Q18" s="46" t="str">
        <f aca="true">IF(A18&amp;H18="","",TRIM(IF(AND(A18&lt;&gt;"",A18&lt;TODAY(),O18&lt;&gt;"Published",O18&lt;&gt;"Repurpose"),"⚠ Overdue ","")&amp;IF(AND(J18&lt;&gt;"",D18&lt;&gt;"",IFERROR(J18&gt;INDEX(Setup!$E$9:$E$18,MATCH(D18,Setup!$B$9:$B$18,0)),FALSE())),"✂ Caption too long ","")&amp;IF(AND(M18&lt;&gt;"",D18&lt;&gt;"",IFERROR(M18&gt;INDEX(Setup!$F$9:$F$18,MATCH(D18,Setup!$B$9:$B$18,0)),FALSE())),"# Too many tags","")))</f>
        <v/>
      </c>
      <c r="R18" s="16"/>
      <c r="S18" s="19"/>
      <c r="T18" s="19"/>
      <c r="U18" s="19"/>
      <c r="V18" s="19"/>
      <c r="W18" s="19"/>
      <c r="X18" s="19"/>
      <c r="Y18" s="19"/>
      <c r="Z18" s="47" t="str">
        <f aca="false">IF(COUNT(U18:X18)=0,"",SUM(U18:X18))</f>
        <v/>
      </c>
      <c r="AA18" s="48" t="str">
        <f aca="false">IF(OR(Z18="",N(T18)=0),"",Z18/T18)</f>
        <v/>
      </c>
      <c r="AB18" s="45"/>
      <c r="AC18" s="50" t="n">
        <f aca="false">IF(A18="","",A18+N(C18)+ROW()/10^7)</f>
        <v>46304.7083351333</v>
      </c>
      <c r="AD18" s="51" t="str">
        <f aca="false">IF(A18="","",TEXT(A18,"0")&amp;"|"&amp;COUNTIFS('Content Log'!$A$5:$A$504,A18,'Content Log'!$AC$5:$AC$504,"&lt;="&amp;AC18))</f>
        <v>46304|1</v>
      </c>
      <c r="AE18" s="51" t="str">
        <f aca="false">IF(A18="","",IFERROR(INDEX(Setup!$N$9:$N$14,MATCH(O18,Setup!$M$9:$M$14,0))&amp;" ","")&amp;IF(C18="","",TEXT(C18,"h:mm AM/PM")&amp;" ")&amp;D18&amp;IF(H18="",""," · "&amp;H18))</f>
        <v>✏️ 5:00 PM Instagram · Day in the life of a planner shop</v>
      </c>
      <c r="AF18" s="51" t="str">
        <f aca="false">IF(OR(A18="",AA18=""),"",IF(AND(A18&gt;=Dashboard!$G$4,A18&lt;=Dashboard!$I$4),AA18+ROW()/10^9,""))</f>
        <v/>
      </c>
      <c r="AG18" s="51" t="n">
        <f aca="false">IF(A18="","",WEEKDAY(A18,2))</f>
        <v>5</v>
      </c>
    </row>
    <row r="19" customFormat="false" ht="28.35" hidden="false" customHeight="false" outlineLevel="0" collapsed="false">
      <c r="A19" s="43" t="n">
        <v>46307</v>
      </c>
      <c r="B19" s="11" t="str">
        <f aca="false">IF(A19="","",TEXT(A19,"ddd"))</f>
        <v>Mon</v>
      </c>
      <c r="C19" s="44" t="n">
        <v>0.375</v>
      </c>
      <c r="D19" s="16" t="s">
        <v>58</v>
      </c>
      <c r="E19" s="16" t="s">
        <v>70</v>
      </c>
      <c r="F19" s="16" t="s">
        <v>60</v>
      </c>
      <c r="G19" s="16" t="s">
        <v>178</v>
      </c>
      <c r="H19" s="45" t="s">
        <v>211</v>
      </c>
      <c r="I19" s="45"/>
      <c r="J19" s="11" t="str">
        <f aca="false">IF(I19="","",LEN(I19))</f>
        <v/>
      </c>
      <c r="K19" s="16" t="s">
        <v>212</v>
      </c>
      <c r="L19" s="16" t="s">
        <v>163</v>
      </c>
      <c r="M19" s="11" t="n">
        <f aca="false">IF(L19="","",IFERROR(INDEX('Hashtag Bank'!$E$5:$E$104,MATCH(L19,'Hashtag Bank'!$B$5:$B$104,0)),""))</f>
        <v>8</v>
      </c>
      <c r="N19" s="16"/>
      <c r="O19" s="16" t="s">
        <v>71</v>
      </c>
      <c r="P19" s="16" t="s">
        <v>73</v>
      </c>
      <c r="Q19" s="46" t="str">
        <f aca="true">IF(A19&amp;H19="","",TRIM(IF(AND(A19&lt;&gt;"",A19&lt;TODAY(),O19&lt;&gt;"Published",O19&lt;&gt;"Repurpose"),"⚠ Overdue ","")&amp;IF(AND(J19&lt;&gt;"",D19&lt;&gt;"",IFERROR(J19&gt;INDEX(Setup!$E$9:$E$18,MATCH(D19,Setup!$B$9:$B$18,0)),FALSE())),"✂ Caption too long ","")&amp;IF(AND(M19&lt;&gt;"",D19&lt;&gt;"",IFERROR(M19&gt;INDEX(Setup!$F$9:$F$18,MATCH(D19,Setup!$B$9:$B$18,0)),FALSE())),"# Too many tags","")))</f>
        <v/>
      </c>
      <c r="R19" s="16"/>
      <c r="S19" s="19"/>
      <c r="T19" s="19"/>
      <c r="U19" s="19"/>
      <c r="V19" s="19"/>
      <c r="W19" s="19"/>
      <c r="X19" s="19"/>
      <c r="Y19" s="19"/>
      <c r="Z19" s="47" t="str">
        <f aca="false">IF(COUNT(U19:X19)=0,"",SUM(U19:X19))</f>
        <v/>
      </c>
      <c r="AA19" s="48" t="str">
        <f aca="false">IF(OR(Z19="",N(T19)=0),"",Z19/T19)</f>
        <v/>
      </c>
      <c r="AB19" s="45"/>
      <c r="AC19" s="50" t="n">
        <f aca="false">IF(A19="","",A19+N(C19)+ROW()/10^7)</f>
        <v>46307.3750019</v>
      </c>
      <c r="AD19" s="51" t="str">
        <f aca="false">IF(A19="","",TEXT(A19,"0")&amp;"|"&amp;COUNTIFS('Content Log'!$A$5:$A$504,A19,'Content Log'!$AC$5:$AC$504,"&lt;="&amp;AC19))</f>
        <v>46307|1</v>
      </c>
      <c r="AE19" s="51" t="str">
        <f aca="false">IF(A19="","",IFERROR(INDEX(Setup!$N$9:$N$14,MATCH(O19,Setup!$M$9:$M$14,0))&amp;" ","")&amp;IF(C19="","",TEXT(C19,"h:mm AM/PM")&amp;" ")&amp;D19&amp;IF(H19="",""," · "&amp;H19))</f>
        <v>✏️ 9:00 AM Instagram · How to plan Q4 content</v>
      </c>
      <c r="AF19" s="51" t="str">
        <f aca="false">IF(OR(A19="",AA19=""),"",IF(AND(A19&gt;=Dashboard!$G$4,A19&lt;=Dashboard!$I$4),AA19+ROW()/10^9,""))</f>
        <v/>
      </c>
      <c r="AG19" s="51" t="n">
        <f aca="false">IF(A19="","",WEEKDAY(A19,2))</f>
        <v>1</v>
      </c>
    </row>
    <row r="20" customFormat="false" ht="19.4" hidden="false" customHeight="false" outlineLevel="0" collapsed="false">
      <c r="A20" s="43" t="n">
        <v>46308</v>
      </c>
      <c r="B20" s="11" t="str">
        <f aca="false">IF(A20="","",TEXT(A20,"ddd"))</f>
        <v>Tue</v>
      </c>
      <c r="C20" s="44" t="n">
        <v>0.5</v>
      </c>
      <c r="D20" s="16" t="s">
        <v>67</v>
      </c>
      <c r="E20" s="16" t="s">
        <v>62</v>
      </c>
      <c r="F20" s="16" t="s">
        <v>85</v>
      </c>
      <c r="G20" s="16" t="s">
        <v>178</v>
      </c>
      <c r="H20" s="45" t="s">
        <v>213</v>
      </c>
      <c r="I20" s="45"/>
      <c r="J20" s="11" t="str">
        <f aca="false">IF(I20="","",LEN(I20))</f>
        <v/>
      </c>
      <c r="K20" s="16" t="s">
        <v>214</v>
      </c>
      <c r="L20" s="16" t="s">
        <v>168</v>
      </c>
      <c r="M20" s="11" t="n">
        <f aca="false">IF(L20="","",IFERROR(INDEX('Hashtag Bank'!$E$5:$E$104,MATCH(L20,'Hashtag Bank'!$B$5:$B$104,0)),""))</f>
        <v>4</v>
      </c>
      <c r="N20" s="16"/>
      <c r="O20" s="16" t="s">
        <v>63</v>
      </c>
      <c r="P20" s="16" t="s">
        <v>81</v>
      </c>
      <c r="Q20" s="46" t="str">
        <f aca="true">IF(A20&amp;H20="","",TRIM(IF(AND(A20&lt;&gt;"",A20&lt;TODAY(),O20&lt;&gt;"Published",O20&lt;&gt;"Repurpose"),"⚠ Overdue ","")&amp;IF(AND(J20&lt;&gt;"",D20&lt;&gt;"",IFERROR(J20&gt;INDEX(Setup!$E$9:$E$18,MATCH(D20,Setup!$B$9:$B$18,0)),FALSE())),"✂ Caption too long ","")&amp;IF(AND(M20&lt;&gt;"",D20&lt;&gt;"",IFERROR(M20&gt;INDEX(Setup!$F$9:$F$18,MATCH(D20,Setup!$B$9:$B$18,0)),FALSE())),"# Too many tags","")))</f>
        <v/>
      </c>
      <c r="R20" s="16"/>
      <c r="S20" s="19"/>
      <c r="T20" s="19"/>
      <c r="U20" s="19"/>
      <c r="V20" s="19"/>
      <c r="W20" s="19"/>
      <c r="X20" s="19"/>
      <c r="Y20" s="19"/>
      <c r="Z20" s="47" t="str">
        <f aca="false">IF(COUNT(U20:X20)=0,"",SUM(U20:X20))</f>
        <v/>
      </c>
      <c r="AA20" s="48" t="str">
        <f aca="false">IF(OR(Z20="",N(T20)=0),"",Z20/T20)</f>
        <v/>
      </c>
      <c r="AB20" s="45"/>
      <c r="AC20" s="50" t="n">
        <f aca="false">IF(A20="","",A20+N(C20)+ROW()/10^7)</f>
        <v>46308.500002</v>
      </c>
      <c r="AD20" s="51" t="str">
        <f aca="false">IF(A20="","",TEXT(A20,"0")&amp;"|"&amp;COUNTIFS('Content Log'!$A$5:$A$504,A20,'Content Log'!$AC$5:$AC$504,"&lt;="&amp;AC20))</f>
        <v>46308|1</v>
      </c>
      <c r="AE20" s="51" t="str">
        <f aca="false">IF(A20="","",IFERROR(INDEX(Setup!$N$9:$N$14,MATCH(O20,Setup!$M$9:$M$14,0))&amp;" ","")&amp;IF(C20="","",TEXT(C20,"h:mm AM/PM")&amp;" ")&amp;D20&amp;IF(H20="",""," · "&amp;H20))</f>
        <v>💡 12:00 PM TikTok · Countdown: 2 days</v>
      </c>
      <c r="AF20" s="51" t="str">
        <f aca="false">IF(OR(A20="",AA20=""),"",IF(AND(A20&gt;=Dashboard!$G$4,A20&lt;=Dashboard!$I$4),AA20+ROW()/10^9,""))</f>
        <v/>
      </c>
      <c r="AG20" s="51" t="n">
        <f aca="false">IF(A20="","",WEEKDAY(A20,2))</f>
        <v>2</v>
      </c>
    </row>
    <row r="21" customFormat="false" ht="28.35" hidden="false" customHeight="false" outlineLevel="0" collapsed="false">
      <c r="A21" s="43" t="n">
        <v>46310</v>
      </c>
      <c r="B21" s="11" t="str">
        <f aca="false">IF(A21="","",TEXT(A21,"ddd"))</f>
        <v>Thu</v>
      </c>
      <c r="C21" s="44" t="n">
        <v>0.333333333333333</v>
      </c>
      <c r="D21" s="16" t="s">
        <v>58</v>
      </c>
      <c r="E21" s="16" t="s">
        <v>62</v>
      </c>
      <c r="F21" s="16" t="s">
        <v>85</v>
      </c>
      <c r="G21" s="16" t="s">
        <v>178</v>
      </c>
      <c r="H21" s="45" t="s">
        <v>215</v>
      </c>
      <c r="I21" s="45" t="s">
        <v>216</v>
      </c>
      <c r="J21" s="11" t="n">
        <f aca="false">IF(I21="","",LEN(I21))</f>
        <v>44</v>
      </c>
      <c r="K21" s="16" t="s">
        <v>217</v>
      </c>
      <c r="L21" s="16" t="s">
        <v>182</v>
      </c>
      <c r="M21" s="11" t="n">
        <f aca="false">IF(L21="","",IFERROR(INDEX('Hashtag Bank'!$E$5:$E$104,MATCH(L21,'Hashtag Bank'!$B$5:$B$104,0)),""))</f>
        <v>5</v>
      </c>
      <c r="N21" s="16"/>
      <c r="O21" s="16" t="s">
        <v>88</v>
      </c>
      <c r="P21" s="16" t="s">
        <v>65</v>
      </c>
      <c r="Q21" s="46" t="str">
        <f aca="true">IF(A21&amp;H21="","",TRIM(IF(AND(A21&lt;&gt;"",A21&lt;TODAY(),O21&lt;&gt;"Published",O21&lt;&gt;"Repurpose"),"⚠ Overdue ","")&amp;IF(AND(J21&lt;&gt;"",D21&lt;&gt;"",IFERROR(J21&gt;INDEX(Setup!$E$9:$E$18,MATCH(D21,Setup!$B$9:$B$18,0)),FALSE())),"✂ Caption too long ","")&amp;IF(AND(M21&lt;&gt;"",D21&lt;&gt;"",IFERROR(M21&gt;INDEX(Setup!$F$9:$F$18,MATCH(D21,Setup!$B$9:$B$18,0)),FALSE())),"# Too many tags","")))</f>
        <v/>
      </c>
      <c r="R21" s="16"/>
      <c r="S21" s="19"/>
      <c r="T21" s="19"/>
      <c r="U21" s="19"/>
      <c r="V21" s="19"/>
      <c r="W21" s="19"/>
      <c r="X21" s="19"/>
      <c r="Y21" s="19"/>
      <c r="Z21" s="47" t="str">
        <f aca="false">IF(COUNT(U21:X21)=0,"",SUM(U21:X21))</f>
        <v/>
      </c>
      <c r="AA21" s="48" t="str">
        <f aca="false">IF(OR(Z21="",N(T21)=0),"",Z21/T21)</f>
        <v/>
      </c>
      <c r="AB21" s="45"/>
      <c r="AC21" s="50" t="n">
        <f aca="false">IF(A21="","",A21+N(C21)+ROW()/10^7)</f>
        <v>46310.3333354333</v>
      </c>
      <c r="AD21" s="51" t="str">
        <f aca="false">IF(A21="","",TEXT(A21,"0")&amp;"|"&amp;COUNTIFS('Content Log'!$A$5:$A$504,A21,'Content Log'!$AC$5:$AC$504,"&lt;="&amp;AC21))</f>
        <v>46310|1</v>
      </c>
      <c r="AE21" s="51" t="str">
        <f aca="false">IF(A21="","",IFERROR(INDEX(Setup!$N$9:$N$14,MATCH(O21,Setup!$M$9:$M$14,0))&amp;" ","")&amp;IF(C21="","",TEXT(C21,"h:mm AM/PM")&amp;" ")&amp;D21&amp;IF(H21="",""," · "&amp;H21))</f>
        <v>🕒 8:00 AM Instagram · LAUNCH DAY 🎉</v>
      </c>
      <c r="AF21" s="51" t="str">
        <f aca="false">IF(OR(A21="",AA21=""),"",IF(AND(A21&gt;=Dashboard!$G$4,A21&lt;=Dashboard!$I$4),AA21+ROW()/10^9,""))</f>
        <v/>
      </c>
      <c r="AG21" s="51" t="n">
        <f aca="false">IF(A21="","",WEEKDAY(A21,2))</f>
        <v>4</v>
      </c>
    </row>
    <row r="22" customFormat="false" ht="28.35" hidden="false" customHeight="false" outlineLevel="0" collapsed="false">
      <c r="A22" s="43" t="n">
        <v>46310</v>
      </c>
      <c r="B22" s="11" t="str">
        <f aca="false">IF(A22="","",TEXT(A22,"ddd"))</f>
        <v>Thu</v>
      </c>
      <c r="C22" s="44" t="n">
        <v>0.5</v>
      </c>
      <c r="D22" s="16" t="s">
        <v>92</v>
      </c>
      <c r="E22" s="16" t="s">
        <v>78</v>
      </c>
      <c r="F22" s="16" t="s">
        <v>85</v>
      </c>
      <c r="G22" s="16" t="s">
        <v>178</v>
      </c>
      <c r="H22" s="45" t="s">
        <v>218</v>
      </c>
      <c r="I22" s="45"/>
      <c r="J22" s="11" t="str">
        <f aca="false">IF(I22="","",LEN(I22))</f>
        <v/>
      </c>
      <c r="K22" s="16" t="s">
        <v>219</v>
      </c>
      <c r="L22" s="16"/>
      <c r="M22" s="11" t="str">
        <f aca="false">IF(L22="","",IFERROR(INDEX('Hashtag Bank'!$E$5:$E$104,MATCH(L22,'Hashtag Bank'!$B$5:$B$104,0)),""))</f>
        <v/>
      </c>
      <c r="N22" s="16"/>
      <c r="O22" s="16" t="s">
        <v>88</v>
      </c>
      <c r="P22" s="16" t="s">
        <v>90</v>
      </c>
      <c r="Q22" s="46" t="str">
        <f aca="true">IF(A22&amp;H22="","",TRIM(IF(AND(A22&lt;&gt;"",A22&lt;TODAY(),O22&lt;&gt;"Published",O22&lt;&gt;"Repurpose"),"⚠ Overdue ","")&amp;IF(AND(J22&lt;&gt;"",D22&lt;&gt;"",IFERROR(J22&gt;INDEX(Setup!$E$9:$E$18,MATCH(D22,Setup!$B$9:$B$18,0)),FALSE())),"✂ Caption too long ","")&amp;IF(AND(M22&lt;&gt;"",D22&lt;&gt;"",IFERROR(M22&gt;INDEX(Setup!$F$9:$F$18,MATCH(D22,Setup!$B$9:$B$18,0)),FALSE())),"# Too many tags","")))</f>
        <v/>
      </c>
      <c r="R22" s="16"/>
      <c r="S22" s="19"/>
      <c r="T22" s="19"/>
      <c r="U22" s="19"/>
      <c r="V22" s="19"/>
      <c r="W22" s="19"/>
      <c r="X22" s="19"/>
      <c r="Y22" s="19"/>
      <c r="Z22" s="47" t="str">
        <f aca="false">IF(COUNT(U22:X22)=0,"",SUM(U22:X22))</f>
        <v/>
      </c>
      <c r="AA22" s="48" t="str">
        <f aca="false">IF(OR(Z22="",N(T22)=0),"",Z22/T22)</f>
        <v/>
      </c>
      <c r="AB22" s="45"/>
      <c r="AC22" s="50" t="n">
        <f aca="false">IF(A22="","",A22+N(C22)+ROW()/10^7)</f>
        <v>46310.5000022</v>
      </c>
      <c r="AD22" s="51" t="str">
        <f aca="false">IF(A22="","",TEXT(A22,"0")&amp;"|"&amp;COUNTIFS('Content Log'!$A$5:$A$504,A22,'Content Log'!$AC$5:$AC$504,"&lt;="&amp;AC22))</f>
        <v>46310|2</v>
      </c>
      <c r="AE22" s="51" t="str">
        <f aca="false">IF(A22="","",IFERROR(INDEX(Setup!$N$9:$N$14,MATCH(O22,Setup!$M$9:$M$14,0))&amp;" ","")&amp;IF(C22="","",TEXT(C22,"h:mm AM/PM")&amp;" ")&amp;D22&amp;IF(H22="",""," · "&amp;H22))</f>
        <v>🕒 12:00 PM Facebook · Launch announcement</v>
      </c>
      <c r="AF22" s="51" t="str">
        <f aca="false">IF(OR(A22="",AA22=""),"",IF(AND(A22&gt;=Dashboard!$G$4,A22&lt;=Dashboard!$I$4),AA22+ROW()/10^9,""))</f>
        <v/>
      </c>
      <c r="AG22" s="51" t="n">
        <f aca="false">IF(A22="","",WEEKDAY(A22,2))</f>
        <v>4</v>
      </c>
    </row>
    <row r="23" customFormat="false" ht="19.4" hidden="false" customHeight="false" outlineLevel="0" collapsed="false">
      <c r="A23" s="43" t="n">
        <v>46310</v>
      </c>
      <c r="B23" s="11" t="str">
        <f aca="false">IF(A23="","",TEXT(A23,"ddd"))</f>
        <v>Thu</v>
      </c>
      <c r="C23" s="44" t="n">
        <v>0.75</v>
      </c>
      <c r="D23" s="16" t="s">
        <v>83</v>
      </c>
      <c r="E23" s="16" t="s">
        <v>106</v>
      </c>
      <c r="F23" s="16" t="s">
        <v>68</v>
      </c>
      <c r="G23" s="16" t="s">
        <v>178</v>
      </c>
      <c r="H23" s="45" t="s">
        <v>220</v>
      </c>
      <c r="I23" s="45"/>
      <c r="J23" s="11" t="str">
        <f aca="false">IF(I23="","",LEN(I23))</f>
        <v/>
      </c>
      <c r="K23" s="16" t="s">
        <v>221</v>
      </c>
      <c r="L23" s="16" t="s">
        <v>173</v>
      </c>
      <c r="M23" s="11" t="n">
        <f aca="false">IF(L23="","",IFERROR(INDEX('Hashtag Bank'!$E$5:$E$104,MATCH(L23,'Hashtag Bank'!$B$5:$B$104,0)),""))</f>
        <v>3</v>
      </c>
      <c r="N23" s="16"/>
      <c r="O23" s="16" t="s">
        <v>71</v>
      </c>
      <c r="P23" s="16" t="s">
        <v>65</v>
      </c>
      <c r="Q23" s="46" t="str">
        <f aca="true">IF(A23&amp;H23="","",TRIM(IF(AND(A23&lt;&gt;"",A23&lt;TODAY(),O23&lt;&gt;"Published",O23&lt;&gt;"Repurpose"),"⚠ Overdue ","")&amp;IF(AND(J23&lt;&gt;"",D23&lt;&gt;"",IFERROR(J23&gt;INDEX(Setup!$E$9:$E$18,MATCH(D23,Setup!$B$9:$B$18,0)),FALSE())),"✂ Caption too long ","")&amp;IF(AND(M23&lt;&gt;"",D23&lt;&gt;"",IFERROR(M23&gt;INDEX(Setup!$F$9:$F$18,MATCH(D23,Setup!$B$9:$B$18,0)),FALSE())),"# Too many tags","")))</f>
        <v/>
      </c>
      <c r="R23" s="16"/>
      <c r="S23" s="19"/>
      <c r="T23" s="19"/>
      <c r="U23" s="19"/>
      <c r="V23" s="19"/>
      <c r="W23" s="19"/>
      <c r="X23" s="19"/>
      <c r="Y23" s="19"/>
      <c r="Z23" s="47" t="str">
        <f aca="false">IF(COUNT(U23:X23)=0,"",SUM(U23:X23))</f>
        <v/>
      </c>
      <c r="AA23" s="48" t="str">
        <f aca="false">IF(OR(Z23="",N(T23)=0),"",Z23/T23)</f>
        <v/>
      </c>
      <c r="AB23" s="45"/>
      <c r="AC23" s="50" t="n">
        <f aca="false">IF(A23="","",A23+N(C23)+ROW()/10^7)</f>
        <v>46310.7500023</v>
      </c>
      <c r="AD23" s="51" t="str">
        <f aca="false">IF(A23="","",TEXT(A23,"0")&amp;"|"&amp;COUNTIFS('Content Log'!$A$5:$A$504,A23,'Content Log'!$AC$5:$AC$504,"&lt;="&amp;AC23))</f>
        <v>46310|3</v>
      </c>
      <c r="AE23" s="51" t="str">
        <f aca="false">IF(A23="","",IFERROR(INDEX(Setup!$N$9:$N$14,MATCH(O23,Setup!$M$9:$M$14,0))&amp;" ","")&amp;IF(C23="","",TEXT(C23,"h:mm AM/PM")&amp;" ")&amp;D23&amp;IF(H23="",""," · "&amp;H23))</f>
        <v>✏️ 6:00 PM LinkedIn · Why we built this</v>
      </c>
      <c r="AF23" s="51" t="str">
        <f aca="false">IF(OR(A23="",AA23=""),"",IF(AND(A23&gt;=Dashboard!$G$4,A23&lt;=Dashboard!$I$4),AA23+ROW()/10^9,""))</f>
        <v/>
      </c>
      <c r="AG23" s="51" t="n">
        <f aca="false">IF(A23="","",WEEKDAY(A23,2))</f>
        <v>4</v>
      </c>
    </row>
    <row r="24" customFormat="false" ht="19.4" hidden="false" customHeight="false" outlineLevel="0" collapsed="false">
      <c r="A24" s="43" t="n">
        <v>46310</v>
      </c>
      <c r="B24" s="11" t="str">
        <f aca="false">IF(A24="","",TEXT(A24,"ddd"))</f>
        <v>Thu</v>
      </c>
      <c r="C24" s="44" t="n">
        <v>0.833333333333333</v>
      </c>
      <c r="D24" s="16" t="s">
        <v>109</v>
      </c>
      <c r="E24" s="16" t="s">
        <v>106</v>
      </c>
      <c r="F24" s="16" t="s">
        <v>85</v>
      </c>
      <c r="G24" s="16" t="s">
        <v>178</v>
      </c>
      <c r="H24" s="45" t="s">
        <v>222</v>
      </c>
      <c r="I24" s="45"/>
      <c r="J24" s="11" t="str">
        <f aca="false">IF(I24="","",LEN(I24))</f>
        <v/>
      </c>
      <c r="K24" s="16"/>
      <c r="L24" s="16"/>
      <c r="M24" s="11" t="str">
        <f aca="false">IF(L24="","",IFERROR(INDEX('Hashtag Bank'!$E$5:$E$104,MATCH(L24,'Hashtag Bank'!$B$5:$B$104,0)),""))</f>
        <v/>
      </c>
      <c r="N24" s="16"/>
      <c r="O24" s="16" t="s">
        <v>63</v>
      </c>
      <c r="P24" s="16" t="s">
        <v>65</v>
      </c>
      <c r="Q24" s="46" t="str">
        <f aca="true">IF(A24&amp;H24="","",TRIM(IF(AND(A24&lt;&gt;"",A24&lt;TODAY(),O24&lt;&gt;"Published",O24&lt;&gt;"Repurpose"),"⚠ Overdue ","")&amp;IF(AND(J24&lt;&gt;"",D24&lt;&gt;"",IFERROR(J24&gt;INDEX(Setup!$E$9:$E$18,MATCH(D24,Setup!$B$9:$B$18,0)),FALSE())),"✂ Caption too long ","")&amp;IF(AND(M24&lt;&gt;"",D24&lt;&gt;"",IFERROR(M24&gt;INDEX(Setup!$F$9:$F$18,MATCH(D24,Setup!$B$9:$B$18,0)),FALSE())),"# Too many tags","")))</f>
        <v/>
      </c>
      <c r="R24" s="16"/>
      <c r="S24" s="19"/>
      <c r="T24" s="19"/>
      <c r="U24" s="19"/>
      <c r="V24" s="19"/>
      <c r="W24" s="19"/>
      <c r="X24" s="19"/>
      <c r="Y24" s="19"/>
      <c r="Z24" s="47" t="str">
        <f aca="false">IF(COUNT(U24:X24)=0,"",SUM(U24:X24))</f>
        <v/>
      </c>
      <c r="AA24" s="48" t="str">
        <f aca="false">IF(OR(Z24="",N(T24)=0),"",Z24/T24)</f>
        <v/>
      </c>
      <c r="AB24" s="45"/>
      <c r="AC24" s="50" t="n">
        <f aca="false">IF(A24="","",A24+N(C24)+ROW()/10^7)</f>
        <v>46310.8333357333</v>
      </c>
      <c r="AD24" s="51" t="str">
        <f aca="false">IF(A24="","",TEXT(A24,"0")&amp;"|"&amp;COUNTIFS('Content Log'!$A$5:$A$504,A24,'Content Log'!$AC$5:$AC$504,"&lt;="&amp;AC24))</f>
        <v>46310|4</v>
      </c>
      <c r="AE24" s="51" t="str">
        <f aca="false">IF(A24="","",IFERROR(INDEX(Setup!$N$9:$N$14,MATCH(O24,Setup!$M$9:$M$14,0))&amp;" ","")&amp;IF(C24="","",TEXT(C24,"h:mm AM/PM")&amp;" ")&amp;D24&amp;IF(H24="",""," · "&amp;H24))</f>
        <v>💡 8:00 PM Threads · We're live!</v>
      </c>
      <c r="AF24" s="51" t="str">
        <f aca="false">IF(OR(A24="",AA24=""),"",IF(AND(A24&gt;=Dashboard!$G$4,A24&lt;=Dashboard!$I$4),AA24+ROW()/10^9,""))</f>
        <v/>
      </c>
      <c r="AG24" s="51" t="n">
        <f aca="false">IF(A24="","",WEEKDAY(A24,2))</f>
        <v>4</v>
      </c>
    </row>
    <row r="25" customFormat="false" ht="37.3" hidden="false" customHeight="false" outlineLevel="0" collapsed="false">
      <c r="A25" s="43" t="n">
        <v>46315</v>
      </c>
      <c r="B25" s="11" t="str">
        <f aca="false">IF(A25="","",TEXT(A25,"ddd"))</f>
        <v>Tue</v>
      </c>
      <c r="C25" s="44" t="n">
        <v>0.583333333333333</v>
      </c>
      <c r="D25" s="16" t="s">
        <v>75</v>
      </c>
      <c r="E25" s="16" t="s">
        <v>96</v>
      </c>
      <c r="F25" s="16" t="s">
        <v>60</v>
      </c>
      <c r="G25" s="16"/>
      <c r="H25" s="45" t="s">
        <v>223</v>
      </c>
      <c r="I25" s="45"/>
      <c r="J25" s="11" t="str">
        <f aca="false">IF(I25="","",LEN(I25))</f>
        <v/>
      </c>
      <c r="K25" s="16" t="s">
        <v>191</v>
      </c>
      <c r="L25" s="16" t="s">
        <v>192</v>
      </c>
      <c r="M25" s="11" t="n">
        <f aca="false">IF(L25="","",IFERROR(INDEX('Hashtag Bank'!$E$5:$E$104,MATCH(L25,'Hashtag Bank'!$B$5:$B$104,0)),""))</f>
        <v>3</v>
      </c>
      <c r="N25" s="16"/>
      <c r="O25" s="16" t="s">
        <v>63</v>
      </c>
      <c r="P25" s="16" t="s">
        <v>81</v>
      </c>
      <c r="Q25" s="46" t="str">
        <f aca="true">IF(A25&amp;H25="","",TRIM(IF(AND(A25&lt;&gt;"",A25&lt;TODAY(),O25&lt;&gt;"Published",O25&lt;&gt;"Repurpose"),"⚠ Overdue ","")&amp;IF(AND(J25&lt;&gt;"",D25&lt;&gt;"",IFERROR(J25&gt;INDEX(Setup!$E$9:$E$18,MATCH(D25,Setup!$B$9:$B$18,0)),FALSE())),"✂ Caption too long ","")&amp;IF(AND(M25&lt;&gt;"",D25&lt;&gt;"",IFERROR(M25&gt;INDEX(Setup!$F$9:$F$18,MATCH(D25,Setup!$B$9:$B$18,0)),FALSE())),"# Too many tags","")))</f>
        <v/>
      </c>
      <c r="R25" s="16"/>
      <c r="S25" s="19"/>
      <c r="T25" s="19"/>
      <c r="U25" s="19"/>
      <c r="V25" s="19"/>
      <c r="W25" s="19"/>
      <c r="X25" s="19"/>
      <c r="Y25" s="19"/>
      <c r="Z25" s="47" t="str">
        <f aca="false">IF(COUNT(U25:X25)=0,"",SUM(U25:X25))</f>
        <v/>
      </c>
      <c r="AA25" s="48" t="str">
        <f aca="false">IF(OR(Z25="",N(T25)=0),"",Z25/T25)</f>
        <v/>
      </c>
      <c r="AB25" s="45"/>
      <c r="AC25" s="50" t="n">
        <f aca="false">IF(A25="","",A25+N(C25)+ROW()/10^7)</f>
        <v>46315.5833358333</v>
      </c>
      <c r="AD25" s="51" t="str">
        <f aca="false">IF(A25="","",TEXT(A25,"0")&amp;"|"&amp;COUNTIFS('Content Log'!$A$5:$A$504,A25,'Content Log'!$AC$5:$AC$504,"&lt;="&amp;AC25))</f>
        <v>46315|1</v>
      </c>
      <c r="AE25" s="51" t="str">
        <f aca="false">IF(A25="","",IFERROR(INDEX(Setup!$N$9:$N$14,MATCH(O25,Setup!$M$9:$M$14,0))&amp;" ","")&amp;IF(C25="","",TEXT(C25,"h:mm AM/PM")&amp;" ")&amp;D25&amp;IF(H25="",""," · "&amp;H25))</f>
        <v>💡 2:00 PM YouTube · Q4 content strategy masterclass</v>
      </c>
      <c r="AF25" s="51" t="str">
        <f aca="false">IF(OR(A25="",AA25=""),"",IF(AND(A25&gt;=Dashboard!$G$4,A25&lt;=Dashboard!$I$4),AA25+ROW()/10^9,""))</f>
        <v/>
      </c>
      <c r="AG25" s="51" t="n">
        <f aca="false">IF(A25="","",WEEKDAY(A25,2))</f>
        <v>2</v>
      </c>
    </row>
    <row r="26" customFormat="false" ht="28.35" hidden="false" customHeight="false" outlineLevel="0" collapsed="false">
      <c r="A26" s="43" t="n">
        <v>46317</v>
      </c>
      <c r="B26" s="11" t="str">
        <f aca="false">IF(A26="","",TEXT(A26,"ddd"))</f>
        <v>Thu</v>
      </c>
      <c r="C26" s="44" t="n">
        <v>0.416666666666667</v>
      </c>
      <c r="D26" s="16" t="s">
        <v>100</v>
      </c>
      <c r="E26" s="16" t="s">
        <v>113</v>
      </c>
      <c r="F26" s="16" t="s">
        <v>60</v>
      </c>
      <c r="G26" s="16" t="s">
        <v>159</v>
      </c>
      <c r="H26" s="45" t="s">
        <v>224</v>
      </c>
      <c r="I26" s="45"/>
      <c r="J26" s="11" t="str">
        <f aca="false">IF(I26="","",LEN(I26))</f>
        <v/>
      </c>
      <c r="K26" s="16" t="s">
        <v>225</v>
      </c>
      <c r="L26" s="16" t="s">
        <v>177</v>
      </c>
      <c r="M26" s="11" t="n">
        <f aca="false">IF(L26="","",IFERROR(INDEX('Hashtag Bank'!$E$5:$E$104,MATCH(L26,'Hashtag Bank'!$B$5:$B$104,0)),""))</f>
        <v>3</v>
      </c>
      <c r="N26" s="16"/>
      <c r="O26" s="16" t="s">
        <v>63</v>
      </c>
      <c r="P26" s="16" t="s">
        <v>73</v>
      </c>
      <c r="Q26" s="46" t="str">
        <f aca="true">IF(A26&amp;H26="","",TRIM(IF(AND(A26&lt;&gt;"",A26&lt;TODAY(),O26&lt;&gt;"Published",O26&lt;&gt;"Repurpose"),"⚠ Overdue ","")&amp;IF(AND(J26&lt;&gt;"",D26&lt;&gt;"",IFERROR(J26&gt;INDEX(Setup!$E$9:$E$18,MATCH(D26,Setup!$B$9:$B$18,0)),FALSE())),"✂ Caption too long ","")&amp;IF(AND(M26&lt;&gt;"",D26&lt;&gt;"",IFERROR(M26&gt;INDEX(Setup!$F$9:$F$18,MATCH(D26,Setup!$B$9:$B$18,0)),FALSE())),"# Too many tags","")))</f>
        <v/>
      </c>
      <c r="R26" s="16"/>
      <c r="S26" s="19"/>
      <c r="T26" s="19"/>
      <c r="U26" s="19"/>
      <c r="V26" s="19"/>
      <c r="W26" s="19"/>
      <c r="X26" s="19"/>
      <c r="Y26" s="19"/>
      <c r="Z26" s="47" t="str">
        <f aca="false">IF(COUNT(U26:X26)=0,"",SUM(U26:X26))</f>
        <v/>
      </c>
      <c r="AA26" s="48" t="str">
        <f aca="false">IF(OR(Z26="",N(T26)=0),"",Z26/T26)</f>
        <v/>
      </c>
      <c r="AB26" s="45"/>
      <c r="AC26" s="50" t="n">
        <f aca="false">IF(A26="","",A26+N(C26)+ROW()/10^7)</f>
        <v>46317.4166692667</v>
      </c>
      <c r="AD26" s="51" t="str">
        <f aca="false">IF(A26="","",TEXT(A26,"0")&amp;"|"&amp;COUNTIFS('Content Log'!$A$5:$A$504,A26,'Content Log'!$AC$5:$AC$504,"&lt;="&amp;AC26))</f>
        <v>46317|1</v>
      </c>
      <c r="AE26" s="51" t="str">
        <f aca="false">IF(A26="","",IFERROR(INDEX(Setup!$N$9:$N$14,MATCH(O26,Setup!$M$9:$M$14,0))&amp;" ","")&amp;IF(C26="","",TEXT(C26,"h:mm AM/PM")&amp;" ")&amp;D26&amp;IF(H26="",""," · "&amp;H26))</f>
        <v>💡 10:00 AM Pinterest · Hashtag cheat sheet</v>
      </c>
      <c r="AF26" s="51" t="str">
        <f aca="false">IF(OR(A26="",AA26=""),"",IF(AND(A26&gt;=Dashboard!$G$4,A26&lt;=Dashboard!$I$4),AA26+ROW()/10^9,""))</f>
        <v/>
      </c>
      <c r="AG26" s="51" t="n">
        <f aca="false">IF(A26="","",WEEKDAY(A26,2))</f>
        <v>4</v>
      </c>
    </row>
    <row r="27" customFormat="false" ht="37.3" hidden="false" customHeight="false" outlineLevel="0" collapsed="false">
      <c r="A27" s="43" t="n">
        <v>46322</v>
      </c>
      <c r="B27" s="11" t="str">
        <f aca="false">IF(A27="","",TEXT(A27,"ddd"))</f>
        <v>Tue</v>
      </c>
      <c r="C27" s="44" t="n">
        <v>0.75</v>
      </c>
      <c r="D27" s="16" t="s">
        <v>58</v>
      </c>
      <c r="E27" s="16" t="s">
        <v>70</v>
      </c>
      <c r="F27" s="16" t="s">
        <v>94</v>
      </c>
      <c r="G27" s="16"/>
      <c r="H27" s="45" t="s">
        <v>226</v>
      </c>
      <c r="I27" s="45"/>
      <c r="J27" s="11" t="str">
        <f aca="false">IF(I27="","",LEN(I27))</f>
        <v/>
      </c>
      <c r="K27" s="16" t="s">
        <v>227</v>
      </c>
      <c r="L27" s="16" t="s">
        <v>163</v>
      </c>
      <c r="M27" s="11" t="n">
        <f aca="false">IF(L27="","",IFERROR(INDEX('Hashtag Bank'!$E$5:$E$104,MATCH(L27,'Hashtag Bank'!$B$5:$B$104,0)),""))</f>
        <v>8</v>
      </c>
      <c r="N27" s="16"/>
      <c r="O27" s="16" t="s">
        <v>63</v>
      </c>
      <c r="P27" s="16" t="s">
        <v>90</v>
      </c>
      <c r="Q27" s="46" t="str">
        <f aca="true">IF(A27&amp;H27="","",TRIM(IF(AND(A27&lt;&gt;"",A27&lt;TODAY(),O27&lt;&gt;"Published",O27&lt;&gt;"Repurpose"),"⚠ Overdue ","")&amp;IF(AND(J27&lt;&gt;"",D27&lt;&gt;"",IFERROR(J27&gt;INDEX(Setup!$E$9:$E$18,MATCH(D27,Setup!$B$9:$B$18,0)),FALSE())),"✂ Caption too long ","")&amp;IF(AND(M27&lt;&gt;"",D27&lt;&gt;"",IFERROR(M27&gt;INDEX(Setup!$F$9:$F$18,MATCH(D27,Setup!$B$9:$B$18,0)),FALSE())),"# Too many tags","")))</f>
        <v/>
      </c>
      <c r="R27" s="16"/>
      <c r="S27" s="19"/>
      <c r="T27" s="19"/>
      <c r="U27" s="19"/>
      <c r="V27" s="19"/>
      <c r="W27" s="19"/>
      <c r="X27" s="19"/>
      <c r="Y27" s="19"/>
      <c r="Z27" s="47" t="str">
        <f aca="false">IF(COUNT(U27:X27)=0,"",SUM(U27:X27))</f>
        <v/>
      </c>
      <c r="AA27" s="48" t="str">
        <f aca="false">IF(OR(Z27="",N(T27)=0),"",Z27/T27)</f>
        <v/>
      </c>
      <c r="AB27" s="45"/>
      <c r="AC27" s="50" t="n">
        <f aca="false">IF(A27="","",A27+N(C27)+ROW()/10^7)</f>
        <v>46322.7500027</v>
      </c>
      <c r="AD27" s="51" t="str">
        <f aca="false">IF(A27="","",TEXT(A27,"0")&amp;"|"&amp;COUNTIFS('Content Log'!$A$5:$A$504,A27,'Content Log'!$AC$5:$AC$504,"&lt;="&amp;AC27))</f>
        <v>46322|1</v>
      </c>
      <c r="AE27" s="51" t="str">
        <f aca="false">IF(A27="","",IFERROR(INDEX(Setup!$N$9:$N$14,MATCH(O27,Setup!$M$9:$M$14,0))&amp;" ","")&amp;IF(C27="","",TEXT(C27,"h:mm AM/PM")&amp;" ")&amp;D27&amp;IF(H27="",""," · "&amp;H27))</f>
        <v>💡 6:00 PM Instagram · Your best fall content (UGC)</v>
      </c>
      <c r="AF27" s="51" t="str">
        <f aca="false">IF(OR(A27="",AA27=""),"",IF(AND(A27&gt;=Dashboard!$G$4,A27&lt;=Dashboard!$I$4),AA27+ROW()/10^9,""))</f>
        <v/>
      </c>
      <c r="AG27" s="51" t="n">
        <f aca="false">IF(A27="","",WEEKDAY(A27,2))</f>
        <v>2</v>
      </c>
    </row>
    <row r="28" customFormat="false" ht="19.4" hidden="false" customHeight="false" outlineLevel="0" collapsed="false">
      <c r="A28" s="43" t="n">
        <v>46325</v>
      </c>
      <c r="B28" s="11" t="str">
        <f aca="false">IF(A28="","",TEXT(A28,"ddd"))</f>
        <v>Fri</v>
      </c>
      <c r="C28" s="44" t="n">
        <v>0.708333333333333</v>
      </c>
      <c r="D28" s="16" t="s">
        <v>67</v>
      </c>
      <c r="E28" s="16" t="s">
        <v>62</v>
      </c>
      <c r="F28" s="16" t="s">
        <v>76</v>
      </c>
      <c r="G28" s="16" t="s">
        <v>228</v>
      </c>
      <c r="H28" s="45" t="s">
        <v>229</v>
      </c>
      <c r="I28" s="45"/>
      <c r="J28" s="11" t="str">
        <f aca="false">IF(I28="","",LEN(I28))</f>
        <v/>
      </c>
      <c r="K28" s="16" t="s">
        <v>210</v>
      </c>
      <c r="L28" s="16" t="s">
        <v>168</v>
      </c>
      <c r="M28" s="11" t="n">
        <f aca="false">IF(L28="","",IFERROR(INDEX('Hashtag Bank'!$E$5:$E$104,MATCH(L28,'Hashtag Bank'!$B$5:$B$104,0)),""))</f>
        <v>4</v>
      </c>
      <c r="N28" s="16"/>
      <c r="O28" s="16" t="s">
        <v>63</v>
      </c>
      <c r="P28" s="16" t="s">
        <v>81</v>
      </c>
      <c r="Q28" s="46" t="str">
        <f aca="true">IF(A28&amp;H28="","",TRIM(IF(AND(A28&lt;&gt;"",A28&lt;TODAY(),O28&lt;&gt;"Published",O28&lt;&gt;"Repurpose"),"⚠ Overdue ","")&amp;IF(AND(J28&lt;&gt;"",D28&lt;&gt;"",IFERROR(J28&gt;INDEX(Setup!$E$9:$E$18,MATCH(D28,Setup!$B$9:$B$18,0)),FALSE())),"✂ Caption too long ","")&amp;IF(AND(M28&lt;&gt;"",D28&lt;&gt;"",IFERROR(M28&gt;INDEX(Setup!$F$9:$F$18,MATCH(D28,Setup!$B$9:$B$18,0)),FALSE())),"# Too many tags","")))</f>
        <v/>
      </c>
      <c r="R28" s="16"/>
      <c r="S28" s="19"/>
      <c r="T28" s="19"/>
      <c r="U28" s="19"/>
      <c r="V28" s="19"/>
      <c r="W28" s="19"/>
      <c r="X28" s="19"/>
      <c r="Y28" s="19"/>
      <c r="Z28" s="47" t="str">
        <f aca="false">IF(COUNT(U28:X28)=0,"",SUM(U28:X28))</f>
        <v/>
      </c>
      <c r="AA28" s="48" t="str">
        <f aca="false">IF(OR(Z28="",N(T28)=0),"",Z28/T28)</f>
        <v/>
      </c>
      <c r="AB28" s="45"/>
      <c r="AC28" s="50" t="n">
        <f aca="false">IF(A28="","",A28+N(C28)+ROW()/10^7)</f>
        <v>46325.7083361333</v>
      </c>
      <c r="AD28" s="51" t="str">
        <f aca="false">IF(A28="","",TEXT(A28,"0")&amp;"|"&amp;COUNTIFS('Content Log'!$A$5:$A$504,A28,'Content Log'!$AC$5:$AC$504,"&lt;="&amp;AC28))</f>
        <v>46325|1</v>
      </c>
      <c r="AE28" s="51" t="str">
        <f aca="false">IF(A28="","",IFERROR(INDEX(Setup!$N$9:$N$14,MATCH(O28,Setup!$M$9:$M$14,0))&amp;" ","")&amp;IF(C28="","",TEXT(C28,"h:mm AM/PM")&amp;" ")&amp;D28&amp;IF(H28="",""," · "&amp;H28))</f>
        <v>💡 5:00 PM TikTok · Spooky planner tour</v>
      </c>
      <c r="AF28" s="51" t="str">
        <f aca="false">IF(OR(A28="",AA28=""),"",IF(AND(A28&gt;=Dashboard!$G$4,A28&lt;=Dashboard!$I$4),AA28+ROW()/10^9,""))</f>
        <v/>
      </c>
      <c r="AG28" s="51" t="n">
        <f aca="false">IF(A28="","",WEEKDAY(A28,2))</f>
        <v>5</v>
      </c>
    </row>
    <row r="29" customFormat="false" ht="15" hidden="false" customHeight="false" outlineLevel="0" collapsed="false">
      <c r="A29" s="43"/>
      <c r="B29" s="11" t="str">
        <f aca="false">IF(A29="","",TEXT(A29,"ddd"))</f>
        <v/>
      </c>
      <c r="C29" s="44"/>
      <c r="D29" s="16"/>
      <c r="E29" s="16"/>
      <c r="F29" s="16"/>
      <c r="G29" s="16"/>
      <c r="H29" s="45"/>
      <c r="I29" s="45"/>
      <c r="J29" s="11" t="str">
        <f aca="false">IF(I29="","",LEN(I29))</f>
        <v/>
      </c>
      <c r="K29" s="16"/>
      <c r="L29" s="16"/>
      <c r="M29" s="11" t="str">
        <f aca="false">IF(L29="","",IFERROR(INDEX('Hashtag Bank'!$E$5:$E$104,MATCH(L29,'Hashtag Bank'!$B$5:$B$104,0)),""))</f>
        <v/>
      </c>
      <c r="N29" s="16"/>
      <c r="O29" s="16"/>
      <c r="P29" s="16"/>
      <c r="Q29" s="46" t="str">
        <f aca="true">IF(A29&amp;H29="","",TRIM(IF(AND(A29&lt;&gt;"",A29&lt;TODAY(),O29&lt;&gt;"Published",O29&lt;&gt;"Repurpose"),"⚠ Overdue ","")&amp;IF(AND(J29&lt;&gt;"",D29&lt;&gt;"",IFERROR(J29&gt;INDEX(Setup!$E$9:$E$18,MATCH(D29,Setup!$B$9:$B$18,0)),FALSE())),"✂ Caption too long ","")&amp;IF(AND(M29&lt;&gt;"",D29&lt;&gt;"",IFERROR(M29&gt;INDEX(Setup!$F$9:$F$18,MATCH(D29,Setup!$B$9:$B$18,0)),FALSE())),"# Too many tags","")))</f>
        <v/>
      </c>
      <c r="R29" s="16"/>
      <c r="S29" s="19"/>
      <c r="T29" s="19"/>
      <c r="U29" s="19"/>
      <c r="V29" s="19"/>
      <c r="W29" s="19"/>
      <c r="X29" s="19"/>
      <c r="Y29" s="19"/>
      <c r="Z29" s="47" t="str">
        <f aca="false">IF(COUNT(U29:X29)=0,"",SUM(U29:X29))</f>
        <v/>
      </c>
      <c r="AA29" s="48" t="str">
        <f aca="false">IF(OR(Z29="",N(T29)=0),"",Z29/T29)</f>
        <v/>
      </c>
      <c r="AB29" s="45"/>
      <c r="AC29" s="51" t="str">
        <f aca="false">IF(A29="","",A29+N(C29)+ROW()/10^7)</f>
        <v/>
      </c>
      <c r="AD29" s="51" t="str">
        <f aca="false">IF(A29="","",TEXT(A29,"0")&amp;"|"&amp;COUNTIFS('Content Log'!$A$5:$A$504,A29,'Content Log'!$AC$5:$AC$504,"&lt;="&amp;AC29))</f>
        <v/>
      </c>
      <c r="AE29" s="51" t="str">
        <f aca="false">IF(A29="","",IFERROR(INDEX(Setup!$N$9:$N$14,MATCH(O29,Setup!$M$9:$M$14,0))&amp;" ","")&amp;IF(C29="","",TEXT(C29,"h:mm AM/PM")&amp;" ")&amp;D29&amp;IF(H29="",""," · "&amp;H29))</f>
        <v/>
      </c>
      <c r="AF29" s="51" t="str">
        <f aca="false">IF(OR(A29="",AA29=""),"",IF(AND(A29&gt;=Dashboard!$G$4,A29&lt;=Dashboard!$I$4),AA29+ROW()/10^9,""))</f>
        <v/>
      </c>
      <c r="AG29" s="51" t="str">
        <f aca="false">IF(A29="","",WEEKDAY(A29,2))</f>
        <v/>
      </c>
    </row>
    <row r="30" customFormat="false" ht="15" hidden="false" customHeight="false" outlineLevel="0" collapsed="false">
      <c r="A30" s="43"/>
      <c r="B30" s="11" t="str">
        <f aca="false">IF(A30="","",TEXT(A30,"ddd"))</f>
        <v/>
      </c>
      <c r="C30" s="44"/>
      <c r="D30" s="16"/>
      <c r="E30" s="16"/>
      <c r="F30" s="16"/>
      <c r="G30" s="16"/>
      <c r="H30" s="45"/>
      <c r="I30" s="45"/>
      <c r="J30" s="11" t="str">
        <f aca="false">IF(I30="","",LEN(I30))</f>
        <v/>
      </c>
      <c r="K30" s="16"/>
      <c r="L30" s="16"/>
      <c r="M30" s="11" t="str">
        <f aca="false">IF(L30="","",IFERROR(INDEX('Hashtag Bank'!$E$5:$E$104,MATCH(L30,'Hashtag Bank'!$B$5:$B$104,0)),""))</f>
        <v/>
      </c>
      <c r="N30" s="16"/>
      <c r="O30" s="16"/>
      <c r="P30" s="16"/>
      <c r="Q30" s="46" t="str">
        <f aca="true">IF(A30&amp;H30="","",TRIM(IF(AND(A30&lt;&gt;"",A30&lt;TODAY(),O30&lt;&gt;"Published",O30&lt;&gt;"Repurpose"),"⚠ Overdue ","")&amp;IF(AND(J30&lt;&gt;"",D30&lt;&gt;"",IFERROR(J30&gt;INDEX(Setup!$E$9:$E$18,MATCH(D30,Setup!$B$9:$B$18,0)),FALSE())),"✂ Caption too long ","")&amp;IF(AND(M30&lt;&gt;"",D30&lt;&gt;"",IFERROR(M30&gt;INDEX(Setup!$F$9:$F$18,MATCH(D30,Setup!$B$9:$B$18,0)),FALSE())),"# Too many tags","")))</f>
        <v/>
      </c>
      <c r="R30" s="16"/>
      <c r="S30" s="19"/>
      <c r="T30" s="19"/>
      <c r="U30" s="19"/>
      <c r="V30" s="19"/>
      <c r="W30" s="19"/>
      <c r="X30" s="19"/>
      <c r="Y30" s="19"/>
      <c r="Z30" s="47" t="str">
        <f aca="false">IF(COUNT(U30:X30)=0,"",SUM(U30:X30))</f>
        <v/>
      </c>
      <c r="AA30" s="48" t="str">
        <f aca="false">IF(OR(Z30="",N(T30)=0),"",Z30/T30)</f>
        <v/>
      </c>
      <c r="AB30" s="45"/>
      <c r="AC30" s="51" t="str">
        <f aca="false">IF(A30="","",A30+N(C30)+ROW()/10^7)</f>
        <v/>
      </c>
      <c r="AD30" s="51" t="str">
        <f aca="false">IF(A30="","",TEXT(A30,"0")&amp;"|"&amp;COUNTIFS('Content Log'!$A$5:$A$504,A30,'Content Log'!$AC$5:$AC$504,"&lt;="&amp;AC30))</f>
        <v/>
      </c>
      <c r="AE30" s="51" t="str">
        <f aca="false">IF(A30="","",IFERROR(INDEX(Setup!$N$9:$N$14,MATCH(O30,Setup!$M$9:$M$14,0))&amp;" ","")&amp;IF(C30="","",TEXT(C30,"h:mm AM/PM")&amp;" ")&amp;D30&amp;IF(H30="",""," · "&amp;H30))</f>
        <v/>
      </c>
      <c r="AF30" s="51" t="str">
        <f aca="false">IF(OR(A30="",AA30=""),"",IF(AND(A30&gt;=Dashboard!$G$4,A30&lt;=Dashboard!$I$4),AA30+ROW()/10^9,""))</f>
        <v/>
      </c>
      <c r="AG30" s="51" t="str">
        <f aca="false">IF(A30="","",WEEKDAY(A30,2))</f>
        <v/>
      </c>
    </row>
    <row r="31" customFormat="false" ht="15" hidden="false" customHeight="false" outlineLevel="0" collapsed="false">
      <c r="A31" s="43"/>
      <c r="B31" s="11" t="str">
        <f aca="false">IF(A31="","",TEXT(A31,"ddd"))</f>
        <v/>
      </c>
      <c r="C31" s="44"/>
      <c r="D31" s="16"/>
      <c r="E31" s="16"/>
      <c r="F31" s="16"/>
      <c r="G31" s="16"/>
      <c r="H31" s="45"/>
      <c r="I31" s="45"/>
      <c r="J31" s="11" t="str">
        <f aca="false">IF(I31="","",LEN(I31))</f>
        <v/>
      </c>
      <c r="K31" s="16"/>
      <c r="L31" s="16"/>
      <c r="M31" s="11" t="str">
        <f aca="false">IF(L31="","",IFERROR(INDEX('Hashtag Bank'!$E$5:$E$104,MATCH(L31,'Hashtag Bank'!$B$5:$B$104,0)),""))</f>
        <v/>
      </c>
      <c r="N31" s="16"/>
      <c r="O31" s="16"/>
      <c r="P31" s="16"/>
      <c r="Q31" s="46" t="str">
        <f aca="true">IF(A31&amp;H31="","",TRIM(IF(AND(A31&lt;&gt;"",A31&lt;TODAY(),O31&lt;&gt;"Published",O31&lt;&gt;"Repurpose"),"⚠ Overdue ","")&amp;IF(AND(J31&lt;&gt;"",D31&lt;&gt;"",IFERROR(J31&gt;INDEX(Setup!$E$9:$E$18,MATCH(D31,Setup!$B$9:$B$18,0)),FALSE())),"✂ Caption too long ","")&amp;IF(AND(M31&lt;&gt;"",D31&lt;&gt;"",IFERROR(M31&gt;INDEX(Setup!$F$9:$F$18,MATCH(D31,Setup!$B$9:$B$18,0)),FALSE())),"# Too many tags","")))</f>
        <v/>
      </c>
      <c r="R31" s="16"/>
      <c r="S31" s="19"/>
      <c r="T31" s="19"/>
      <c r="U31" s="19"/>
      <c r="V31" s="19"/>
      <c r="W31" s="19"/>
      <c r="X31" s="19"/>
      <c r="Y31" s="19"/>
      <c r="Z31" s="47" t="str">
        <f aca="false">IF(COUNT(U31:X31)=0,"",SUM(U31:X31))</f>
        <v/>
      </c>
      <c r="AA31" s="48" t="str">
        <f aca="false">IF(OR(Z31="",N(T31)=0),"",Z31/T31)</f>
        <v/>
      </c>
      <c r="AB31" s="45"/>
      <c r="AC31" s="51" t="str">
        <f aca="false">IF(A31="","",A31+N(C31)+ROW()/10^7)</f>
        <v/>
      </c>
      <c r="AD31" s="51" t="str">
        <f aca="false">IF(A31="","",TEXT(A31,"0")&amp;"|"&amp;COUNTIFS('Content Log'!$A$5:$A$504,A31,'Content Log'!$AC$5:$AC$504,"&lt;="&amp;AC31))</f>
        <v/>
      </c>
      <c r="AE31" s="51" t="str">
        <f aca="false">IF(A31="","",IFERROR(INDEX(Setup!$N$9:$N$14,MATCH(O31,Setup!$M$9:$M$14,0))&amp;" ","")&amp;IF(C31="","",TEXT(C31,"h:mm AM/PM")&amp;" ")&amp;D31&amp;IF(H31="",""," · "&amp;H31))</f>
        <v/>
      </c>
      <c r="AF31" s="51" t="str">
        <f aca="false">IF(OR(A31="",AA31=""),"",IF(AND(A31&gt;=Dashboard!$G$4,A31&lt;=Dashboard!$I$4),AA31+ROW()/10^9,""))</f>
        <v/>
      </c>
      <c r="AG31" s="51" t="str">
        <f aca="false">IF(A31="","",WEEKDAY(A31,2))</f>
        <v/>
      </c>
    </row>
    <row r="32" customFormat="false" ht="15" hidden="false" customHeight="false" outlineLevel="0" collapsed="false">
      <c r="A32" s="43"/>
      <c r="B32" s="11" t="str">
        <f aca="false">IF(A32="","",TEXT(A32,"ddd"))</f>
        <v/>
      </c>
      <c r="C32" s="44"/>
      <c r="D32" s="16"/>
      <c r="E32" s="16"/>
      <c r="F32" s="16"/>
      <c r="G32" s="16"/>
      <c r="H32" s="45"/>
      <c r="I32" s="45"/>
      <c r="J32" s="11" t="str">
        <f aca="false">IF(I32="","",LEN(I32))</f>
        <v/>
      </c>
      <c r="K32" s="16"/>
      <c r="L32" s="16"/>
      <c r="M32" s="11" t="str">
        <f aca="false">IF(L32="","",IFERROR(INDEX('Hashtag Bank'!$E$5:$E$104,MATCH(L32,'Hashtag Bank'!$B$5:$B$104,0)),""))</f>
        <v/>
      </c>
      <c r="N32" s="16"/>
      <c r="O32" s="16"/>
      <c r="P32" s="16"/>
      <c r="Q32" s="46" t="str">
        <f aca="true">IF(A32&amp;H32="","",TRIM(IF(AND(A32&lt;&gt;"",A32&lt;TODAY(),O32&lt;&gt;"Published",O32&lt;&gt;"Repurpose"),"⚠ Overdue ","")&amp;IF(AND(J32&lt;&gt;"",D32&lt;&gt;"",IFERROR(J32&gt;INDEX(Setup!$E$9:$E$18,MATCH(D32,Setup!$B$9:$B$18,0)),FALSE())),"✂ Caption too long ","")&amp;IF(AND(M32&lt;&gt;"",D32&lt;&gt;"",IFERROR(M32&gt;INDEX(Setup!$F$9:$F$18,MATCH(D32,Setup!$B$9:$B$18,0)),FALSE())),"# Too many tags","")))</f>
        <v/>
      </c>
      <c r="R32" s="16"/>
      <c r="S32" s="19"/>
      <c r="T32" s="19"/>
      <c r="U32" s="19"/>
      <c r="V32" s="19"/>
      <c r="W32" s="19"/>
      <c r="X32" s="19"/>
      <c r="Y32" s="19"/>
      <c r="Z32" s="47" t="str">
        <f aca="false">IF(COUNT(U32:X32)=0,"",SUM(U32:X32))</f>
        <v/>
      </c>
      <c r="AA32" s="48" t="str">
        <f aca="false">IF(OR(Z32="",N(T32)=0),"",Z32/T32)</f>
        <v/>
      </c>
      <c r="AB32" s="45"/>
      <c r="AC32" s="51" t="str">
        <f aca="false">IF(A32="","",A32+N(C32)+ROW()/10^7)</f>
        <v/>
      </c>
      <c r="AD32" s="51" t="str">
        <f aca="false">IF(A32="","",TEXT(A32,"0")&amp;"|"&amp;COUNTIFS('Content Log'!$A$5:$A$504,A32,'Content Log'!$AC$5:$AC$504,"&lt;="&amp;AC32))</f>
        <v/>
      </c>
      <c r="AE32" s="51" t="str">
        <f aca="false">IF(A32="","",IFERROR(INDEX(Setup!$N$9:$N$14,MATCH(O32,Setup!$M$9:$M$14,0))&amp;" ","")&amp;IF(C32="","",TEXT(C32,"h:mm AM/PM")&amp;" ")&amp;D32&amp;IF(H32="",""," · "&amp;H32))</f>
        <v/>
      </c>
      <c r="AF32" s="51" t="str">
        <f aca="false">IF(OR(A32="",AA32=""),"",IF(AND(A32&gt;=Dashboard!$G$4,A32&lt;=Dashboard!$I$4),AA32+ROW()/10^9,""))</f>
        <v/>
      </c>
      <c r="AG32" s="51" t="str">
        <f aca="false">IF(A32="","",WEEKDAY(A32,2))</f>
        <v/>
      </c>
    </row>
    <row r="33" customFormat="false" ht="15" hidden="false" customHeight="false" outlineLevel="0" collapsed="false">
      <c r="A33" s="43"/>
      <c r="B33" s="11" t="str">
        <f aca="false">IF(A33="","",TEXT(A33,"ddd"))</f>
        <v/>
      </c>
      <c r="C33" s="44"/>
      <c r="D33" s="16"/>
      <c r="E33" s="16"/>
      <c r="F33" s="16"/>
      <c r="G33" s="16"/>
      <c r="H33" s="45"/>
      <c r="I33" s="45"/>
      <c r="J33" s="11" t="str">
        <f aca="false">IF(I33="","",LEN(I33))</f>
        <v/>
      </c>
      <c r="K33" s="16"/>
      <c r="L33" s="16"/>
      <c r="M33" s="11" t="str">
        <f aca="false">IF(L33="","",IFERROR(INDEX('Hashtag Bank'!$E$5:$E$104,MATCH(L33,'Hashtag Bank'!$B$5:$B$104,0)),""))</f>
        <v/>
      </c>
      <c r="N33" s="16"/>
      <c r="O33" s="16"/>
      <c r="P33" s="16"/>
      <c r="Q33" s="46" t="str">
        <f aca="true">IF(A33&amp;H33="","",TRIM(IF(AND(A33&lt;&gt;"",A33&lt;TODAY(),O33&lt;&gt;"Published",O33&lt;&gt;"Repurpose"),"⚠ Overdue ","")&amp;IF(AND(J33&lt;&gt;"",D33&lt;&gt;"",IFERROR(J33&gt;INDEX(Setup!$E$9:$E$18,MATCH(D33,Setup!$B$9:$B$18,0)),FALSE())),"✂ Caption too long ","")&amp;IF(AND(M33&lt;&gt;"",D33&lt;&gt;"",IFERROR(M33&gt;INDEX(Setup!$F$9:$F$18,MATCH(D33,Setup!$B$9:$B$18,0)),FALSE())),"# Too many tags","")))</f>
        <v/>
      </c>
      <c r="R33" s="16"/>
      <c r="S33" s="19"/>
      <c r="T33" s="19"/>
      <c r="U33" s="19"/>
      <c r="V33" s="19"/>
      <c r="W33" s="19"/>
      <c r="X33" s="19"/>
      <c r="Y33" s="19"/>
      <c r="Z33" s="47" t="str">
        <f aca="false">IF(COUNT(U33:X33)=0,"",SUM(U33:X33))</f>
        <v/>
      </c>
      <c r="AA33" s="48" t="str">
        <f aca="false">IF(OR(Z33="",N(T33)=0),"",Z33/T33)</f>
        <v/>
      </c>
      <c r="AB33" s="45"/>
      <c r="AC33" s="51" t="str">
        <f aca="false">IF(A33="","",A33+N(C33)+ROW()/10^7)</f>
        <v/>
      </c>
      <c r="AD33" s="51" t="str">
        <f aca="false">IF(A33="","",TEXT(A33,"0")&amp;"|"&amp;COUNTIFS('Content Log'!$A$5:$A$504,A33,'Content Log'!$AC$5:$AC$504,"&lt;="&amp;AC33))</f>
        <v/>
      </c>
      <c r="AE33" s="51" t="str">
        <f aca="false">IF(A33="","",IFERROR(INDEX(Setup!$N$9:$N$14,MATCH(O33,Setup!$M$9:$M$14,0))&amp;" ","")&amp;IF(C33="","",TEXT(C33,"h:mm AM/PM")&amp;" ")&amp;D33&amp;IF(H33="",""," · "&amp;H33))</f>
        <v/>
      </c>
      <c r="AF33" s="51" t="str">
        <f aca="false">IF(OR(A33="",AA33=""),"",IF(AND(A33&gt;=Dashboard!$G$4,A33&lt;=Dashboard!$I$4),AA33+ROW()/10^9,""))</f>
        <v/>
      </c>
      <c r="AG33" s="51" t="str">
        <f aca="false">IF(A33="","",WEEKDAY(A33,2))</f>
        <v/>
      </c>
    </row>
    <row r="34" customFormat="false" ht="15" hidden="false" customHeight="false" outlineLevel="0" collapsed="false">
      <c r="A34" s="43"/>
      <c r="B34" s="11" t="str">
        <f aca="false">IF(A34="","",TEXT(A34,"ddd"))</f>
        <v/>
      </c>
      <c r="C34" s="44"/>
      <c r="D34" s="16"/>
      <c r="E34" s="16"/>
      <c r="F34" s="16"/>
      <c r="G34" s="16"/>
      <c r="H34" s="45"/>
      <c r="I34" s="45"/>
      <c r="J34" s="11" t="str">
        <f aca="false">IF(I34="","",LEN(I34))</f>
        <v/>
      </c>
      <c r="K34" s="16"/>
      <c r="L34" s="16"/>
      <c r="M34" s="11" t="str">
        <f aca="false">IF(L34="","",IFERROR(INDEX('Hashtag Bank'!$E$5:$E$104,MATCH(L34,'Hashtag Bank'!$B$5:$B$104,0)),""))</f>
        <v/>
      </c>
      <c r="N34" s="16"/>
      <c r="O34" s="16"/>
      <c r="P34" s="16"/>
      <c r="Q34" s="46" t="str">
        <f aca="true">IF(A34&amp;H34="","",TRIM(IF(AND(A34&lt;&gt;"",A34&lt;TODAY(),O34&lt;&gt;"Published",O34&lt;&gt;"Repurpose"),"⚠ Overdue ","")&amp;IF(AND(J34&lt;&gt;"",D34&lt;&gt;"",IFERROR(J34&gt;INDEX(Setup!$E$9:$E$18,MATCH(D34,Setup!$B$9:$B$18,0)),FALSE())),"✂ Caption too long ","")&amp;IF(AND(M34&lt;&gt;"",D34&lt;&gt;"",IFERROR(M34&gt;INDEX(Setup!$F$9:$F$18,MATCH(D34,Setup!$B$9:$B$18,0)),FALSE())),"# Too many tags","")))</f>
        <v/>
      </c>
      <c r="R34" s="16"/>
      <c r="S34" s="19"/>
      <c r="T34" s="19"/>
      <c r="U34" s="19"/>
      <c r="V34" s="19"/>
      <c r="W34" s="19"/>
      <c r="X34" s="19"/>
      <c r="Y34" s="19"/>
      <c r="Z34" s="47" t="str">
        <f aca="false">IF(COUNT(U34:X34)=0,"",SUM(U34:X34))</f>
        <v/>
      </c>
      <c r="AA34" s="48" t="str">
        <f aca="false">IF(OR(Z34="",N(T34)=0),"",Z34/T34)</f>
        <v/>
      </c>
      <c r="AB34" s="45"/>
      <c r="AC34" s="51" t="str">
        <f aca="false">IF(A34="","",A34+N(C34)+ROW()/10^7)</f>
        <v/>
      </c>
      <c r="AD34" s="51" t="str">
        <f aca="false">IF(A34="","",TEXT(A34,"0")&amp;"|"&amp;COUNTIFS('Content Log'!$A$5:$A$504,A34,'Content Log'!$AC$5:$AC$504,"&lt;="&amp;AC34))</f>
        <v/>
      </c>
      <c r="AE34" s="51" t="str">
        <f aca="false">IF(A34="","",IFERROR(INDEX(Setup!$N$9:$N$14,MATCH(O34,Setup!$M$9:$M$14,0))&amp;" ","")&amp;IF(C34="","",TEXT(C34,"h:mm AM/PM")&amp;" ")&amp;D34&amp;IF(H34="",""," · "&amp;H34))</f>
        <v/>
      </c>
      <c r="AF34" s="51" t="str">
        <f aca="false">IF(OR(A34="",AA34=""),"",IF(AND(A34&gt;=Dashboard!$G$4,A34&lt;=Dashboard!$I$4),AA34+ROW()/10^9,""))</f>
        <v/>
      </c>
      <c r="AG34" s="51" t="str">
        <f aca="false">IF(A34="","",WEEKDAY(A34,2))</f>
        <v/>
      </c>
    </row>
    <row r="35" customFormat="false" ht="15" hidden="false" customHeight="false" outlineLevel="0" collapsed="false">
      <c r="A35" s="43"/>
      <c r="B35" s="11" t="str">
        <f aca="false">IF(A35="","",TEXT(A35,"ddd"))</f>
        <v/>
      </c>
      <c r="C35" s="44"/>
      <c r="D35" s="16"/>
      <c r="E35" s="16"/>
      <c r="F35" s="16"/>
      <c r="G35" s="16"/>
      <c r="H35" s="45"/>
      <c r="I35" s="45"/>
      <c r="J35" s="11" t="str">
        <f aca="false">IF(I35="","",LEN(I35))</f>
        <v/>
      </c>
      <c r="K35" s="16"/>
      <c r="L35" s="16"/>
      <c r="M35" s="11" t="str">
        <f aca="false">IF(L35="","",IFERROR(INDEX('Hashtag Bank'!$E$5:$E$104,MATCH(L35,'Hashtag Bank'!$B$5:$B$104,0)),""))</f>
        <v/>
      </c>
      <c r="N35" s="16"/>
      <c r="O35" s="16"/>
      <c r="P35" s="16"/>
      <c r="Q35" s="46" t="str">
        <f aca="true">IF(A35&amp;H35="","",TRIM(IF(AND(A35&lt;&gt;"",A35&lt;TODAY(),O35&lt;&gt;"Published",O35&lt;&gt;"Repurpose"),"⚠ Overdue ","")&amp;IF(AND(J35&lt;&gt;"",D35&lt;&gt;"",IFERROR(J35&gt;INDEX(Setup!$E$9:$E$18,MATCH(D35,Setup!$B$9:$B$18,0)),FALSE())),"✂ Caption too long ","")&amp;IF(AND(M35&lt;&gt;"",D35&lt;&gt;"",IFERROR(M35&gt;INDEX(Setup!$F$9:$F$18,MATCH(D35,Setup!$B$9:$B$18,0)),FALSE())),"# Too many tags","")))</f>
        <v/>
      </c>
      <c r="R35" s="16"/>
      <c r="S35" s="19"/>
      <c r="T35" s="19"/>
      <c r="U35" s="19"/>
      <c r="V35" s="19"/>
      <c r="W35" s="19"/>
      <c r="X35" s="19"/>
      <c r="Y35" s="19"/>
      <c r="Z35" s="47" t="str">
        <f aca="false">IF(COUNT(U35:X35)=0,"",SUM(U35:X35))</f>
        <v/>
      </c>
      <c r="AA35" s="48" t="str">
        <f aca="false">IF(OR(Z35="",N(T35)=0),"",Z35/T35)</f>
        <v/>
      </c>
      <c r="AB35" s="45"/>
      <c r="AC35" s="51" t="str">
        <f aca="false">IF(A35="","",A35+N(C35)+ROW()/10^7)</f>
        <v/>
      </c>
      <c r="AD35" s="51" t="str">
        <f aca="false">IF(A35="","",TEXT(A35,"0")&amp;"|"&amp;COUNTIFS('Content Log'!$A$5:$A$504,A35,'Content Log'!$AC$5:$AC$504,"&lt;="&amp;AC35))</f>
        <v/>
      </c>
      <c r="AE35" s="51" t="str">
        <f aca="false">IF(A35="","",IFERROR(INDEX(Setup!$N$9:$N$14,MATCH(O35,Setup!$M$9:$M$14,0))&amp;" ","")&amp;IF(C35="","",TEXT(C35,"h:mm AM/PM")&amp;" ")&amp;D35&amp;IF(H35="",""," · "&amp;H35))</f>
        <v/>
      </c>
      <c r="AF35" s="51" t="str">
        <f aca="false">IF(OR(A35="",AA35=""),"",IF(AND(A35&gt;=Dashboard!$G$4,A35&lt;=Dashboard!$I$4),AA35+ROW()/10^9,""))</f>
        <v/>
      </c>
      <c r="AG35" s="51" t="str">
        <f aca="false">IF(A35="","",WEEKDAY(A35,2))</f>
        <v/>
      </c>
    </row>
    <row r="36" customFormat="false" ht="15" hidden="false" customHeight="false" outlineLevel="0" collapsed="false">
      <c r="A36" s="43"/>
      <c r="B36" s="11" t="str">
        <f aca="false">IF(A36="","",TEXT(A36,"ddd"))</f>
        <v/>
      </c>
      <c r="C36" s="44"/>
      <c r="D36" s="16"/>
      <c r="E36" s="16"/>
      <c r="F36" s="16"/>
      <c r="G36" s="16"/>
      <c r="H36" s="45"/>
      <c r="I36" s="45"/>
      <c r="J36" s="11" t="str">
        <f aca="false">IF(I36="","",LEN(I36))</f>
        <v/>
      </c>
      <c r="K36" s="16"/>
      <c r="L36" s="16"/>
      <c r="M36" s="11" t="str">
        <f aca="false">IF(L36="","",IFERROR(INDEX('Hashtag Bank'!$E$5:$E$104,MATCH(L36,'Hashtag Bank'!$B$5:$B$104,0)),""))</f>
        <v/>
      </c>
      <c r="N36" s="16"/>
      <c r="O36" s="16"/>
      <c r="P36" s="16"/>
      <c r="Q36" s="46" t="str">
        <f aca="true">IF(A36&amp;H36="","",TRIM(IF(AND(A36&lt;&gt;"",A36&lt;TODAY(),O36&lt;&gt;"Published",O36&lt;&gt;"Repurpose"),"⚠ Overdue ","")&amp;IF(AND(J36&lt;&gt;"",D36&lt;&gt;"",IFERROR(J36&gt;INDEX(Setup!$E$9:$E$18,MATCH(D36,Setup!$B$9:$B$18,0)),FALSE())),"✂ Caption too long ","")&amp;IF(AND(M36&lt;&gt;"",D36&lt;&gt;"",IFERROR(M36&gt;INDEX(Setup!$F$9:$F$18,MATCH(D36,Setup!$B$9:$B$18,0)),FALSE())),"# Too many tags","")))</f>
        <v/>
      </c>
      <c r="R36" s="16"/>
      <c r="S36" s="19"/>
      <c r="T36" s="19"/>
      <c r="U36" s="19"/>
      <c r="V36" s="19"/>
      <c r="W36" s="19"/>
      <c r="X36" s="19"/>
      <c r="Y36" s="19"/>
      <c r="Z36" s="47" t="str">
        <f aca="false">IF(COUNT(U36:X36)=0,"",SUM(U36:X36))</f>
        <v/>
      </c>
      <c r="AA36" s="48" t="str">
        <f aca="false">IF(OR(Z36="",N(T36)=0),"",Z36/T36)</f>
        <v/>
      </c>
      <c r="AB36" s="45"/>
      <c r="AC36" s="51" t="str">
        <f aca="false">IF(A36="","",A36+N(C36)+ROW()/10^7)</f>
        <v/>
      </c>
      <c r="AD36" s="51" t="str">
        <f aca="false">IF(A36="","",TEXT(A36,"0")&amp;"|"&amp;COUNTIFS('Content Log'!$A$5:$A$504,A36,'Content Log'!$AC$5:$AC$504,"&lt;="&amp;AC36))</f>
        <v/>
      </c>
      <c r="AE36" s="51" t="str">
        <f aca="false">IF(A36="","",IFERROR(INDEX(Setup!$N$9:$N$14,MATCH(O36,Setup!$M$9:$M$14,0))&amp;" ","")&amp;IF(C36="","",TEXT(C36,"h:mm AM/PM")&amp;" ")&amp;D36&amp;IF(H36="",""," · "&amp;H36))</f>
        <v/>
      </c>
      <c r="AF36" s="51" t="str">
        <f aca="false">IF(OR(A36="",AA36=""),"",IF(AND(A36&gt;=Dashboard!$G$4,A36&lt;=Dashboard!$I$4),AA36+ROW()/10^9,""))</f>
        <v/>
      </c>
      <c r="AG36" s="51" t="str">
        <f aca="false">IF(A36="","",WEEKDAY(A36,2))</f>
        <v/>
      </c>
    </row>
    <row r="37" customFormat="false" ht="15" hidden="false" customHeight="false" outlineLevel="0" collapsed="false">
      <c r="A37" s="43"/>
      <c r="B37" s="11" t="str">
        <f aca="false">IF(A37="","",TEXT(A37,"ddd"))</f>
        <v/>
      </c>
      <c r="C37" s="44"/>
      <c r="D37" s="16"/>
      <c r="E37" s="16"/>
      <c r="F37" s="16"/>
      <c r="G37" s="16"/>
      <c r="H37" s="45"/>
      <c r="I37" s="45"/>
      <c r="J37" s="11" t="str">
        <f aca="false">IF(I37="","",LEN(I37))</f>
        <v/>
      </c>
      <c r="K37" s="16"/>
      <c r="L37" s="16"/>
      <c r="M37" s="11" t="str">
        <f aca="false">IF(L37="","",IFERROR(INDEX('Hashtag Bank'!$E$5:$E$104,MATCH(L37,'Hashtag Bank'!$B$5:$B$104,0)),""))</f>
        <v/>
      </c>
      <c r="N37" s="16"/>
      <c r="O37" s="16"/>
      <c r="P37" s="16"/>
      <c r="Q37" s="46" t="str">
        <f aca="true">IF(A37&amp;H37="","",TRIM(IF(AND(A37&lt;&gt;"",A37&lt;TODAY(),O37&lt;&gt;"Published",O37&lt;&gt;"Repurpose"),"⚠ Overdue ","")&amp;IF(AND(J37&lt;&gt;"",D37&lt;&gt;"",IFERROR(J37&gt;INDEX(Setup!$E$9:$E$18,MATCH(D37,Setup!$B$9:$B$18,0)),FALSE())),"✂ Caption too long ","")&amp;IF(AND(M37&lt;&gt;"",D37&lt;&gt;"",IFERROR(M37&gt;INDEX(Setup!$F$9:$F$18,MATCH(D37,Setup!$B$9:$B$18,0)),FALSE())),"# Too many tags","")))</f>
        <v/>
      </c>
      <c r="R37" s="16"/>
      <c r="S37" s="19"/>
      <c r="T37" s="19"/>
      <c r="U37" s="19"/>
      <c r="V37" s="19"/>
      <c r="W37" s="19"/>
      <c r="X37" s="19"/>
      <c r="Y37" s="19"/>
      <c r="Z37" s="47" t="str">
        <f aca="false">IF(COUNT(U37:X37)=0,"",SUM(U37:X37))</f>
        <v/>
      </c>
      <c r="AA37" s="48" t="str">
        <f aca="false">IF(OR(Z37="",N(T37)=0),"",Z37/T37)</f>
        <v/>
      </c>
      <c r="AB37" s="45"/>
      <c r="AC37" s="51" t="str">
        <f aca="false">IF(A37="","",A37+N(C37)+ROW()/10^7)</f>
        <v/>
      </c>
      <c r="AD37" s="51" t="str">
        <f aca="false">IF(A37="","",TEXT(A37,"0")&amp;"|"&amp;COUNTIFS('Content Log'!$A$5:$A$504,A37,'Content Log'!$AC$5:$AC$504,"&lt;="&amp;AC37))</f>
        <v/>
      </c>
      <c r="AE37" s="51" t="str">
        <f aca="false">IF(A37="","",IFERROR(INDEX(Setup!$N$9:$N$14,MATCH(O37,Setup!$M$9:$M$14,0))&amp;" ","")&amp;IF(C37="","",TEXT(C37,"h:mm AM/PM")&amp;" ")&amp;D37&amp;IF(H37="",""," · "&amp;H37))</f>
        <v/>
      </c>
      <c r="AF37" s="51" t="str">
        <f aca="false">IF(OR(A37="",AA37=""),"",IF(AND(A37&gt;=Dashboard!$G$4,A37&lt;=Dashboard!$I$4),AA37+ROW()/10^9,""))</f>
        <v/>
      </c>
      <c r="AG37" s="51" t="str">
        <f aca="false">IF(A37="","",WEEKDAY(A37,2))</f>
        <v/>
      </c>
    </row>
    <row r="38" customFormat="false" ht="15" hidden="false" customHeight="false" outlineLevel="0" collapsed="false">
      <c r="A38" s="43"/>
      <c r="B38" s="11" t="str">
        <f aca="false">IF(A38="","",TEXT(A38,"ddd"))</f>
        <v/>
      </c>
      <c r="C38" s="44"/>
      <c r="D38" s="16"/>
      <c r="E38" s="16"/>
      <c r="F38" s="16"/>
      <c r="G38" s="16"/>
      <c r="H38" s="45"/>
      <c r="I38" s="45"/>
      <c r="J38" s="11" t="str">
        <f aca="false">IF(I38="","",LEN(I38))</f>
        <v/>
      </c>
      <c r="K38" s="16"/>
      <c r="L38" s="16"/>
      <c r="M38" s="11" t="str">
        <f aca="false">IF(L38="","",IFERROR(INDEX('Hashtag Bank'!$E$5:$E$104,MATCH(L38,'Hashtag Bank'!$B$5:$B$104,0)),""))</f>
        <v/>
      </c>
      <c r="N38" s="16"/>
      <c r="O38" s="16"/>
      <c r="P38" s="16"/>
      <c r="Q38" s="46" t="str">
        <f aca="true">IF(A38&amp;H38="","",TRIM(IF(AND(A38&lt;&gt;"",A38&lt;TODAY(),O38&lt;&gt;"Published",O38&lt;&gt;"Repurpose"),"⚠ Overdue ","")&amp;IF(AND(J38&lt;&gt;"",D38&lt;&gt;"",IFERROR(J38&gt;INDEX(Setup!$E$9:$E$18,MATCH(D38,Setup!$B$9:$B$18,0)),FALSE())),"✂ Caption too long ","")&amp;IF(AND(M38&lt;&gt;"",D38&lt;&gt;"",IFERROR(M38&gt;INDEX(Setup!$F$9:$F$18,MATCH(D38,Setup!$B$9:$B$18,0)),FALSE())),"# Too many tags","")))</f>
        <v/>
      </c>
      <c r="R38" s="16"/>
      <c r="S38" s="19"/>
      <c r="T38" s="19"/>
      <c r="U38" s="19"/>
      <c r="V38" s="19"/>
      <c r="W38" s="19"/>
      <c r="X38" s="19"/>
      <c r="Y38" s="19"/>
      <c r="Z38" s="47" t="str">
        <f aca="false">IF(COUNT(U38:X38)=0,"",SUM(U38:X38))</f>
        <v/>
      </c>
      <c r="AA38" s="48" t="str">
        <f aca="false">IF(OR(Z38="",N(T38)=0),"",Z38/T38)</f>
        <v/>
      </c>
      <c r="AB38" s="45"/>
      <c r="AC38" s="51" t="str">
        <f aca="false">IF(A38="","",A38+N(C38)+ROW()/10^7)</f>
        <v/>
      </c>
      <c r="AD38" s="51" t="str">
        <f aca="false">IF(A38="","",TEXT(A38,"0")&amp;"|"&amp;COUNTIFS('Content Log'!$A$5:$A$504,A38,'Content Log'!$AC$5:$AC$504,"&lt;="&amp;AC38))</f>
        <v/>
      </c>
      <c r="AE38" s="51" t="str">
        <f aca="false">IF(A38="","",IFERROR(INDEX(Setup!$N$9:$N$14,MATCH(O38,Setup!$M$9:$M$14,0))&amp;" ","")&amp;IF(C38="","",TEXT(C38,"h:mm AM/PM")&amp;" ")&amp;D38&amp;IF(H38="",""," · "&amp;H38))</f>
        <v/>
      </c>
      <c r="AF38" s="51" t="str">
        <f aca="false">IF(OR(A38="",AA38=""),"",IF(AND(A38&gt;=Dashboard!$G$4,A38&lt;=Dashboard!$I$4),AA38+ROW()/10^9,""))</f>
        <v/>
      </c>
      <c r="AG38" s="51" t="str">
        <f aca="false">IF(A38="","",WEEKDAY(A38,2))</f>
        <v/>
      </c>
    </row>
    <row r="39" customFormat="false" ht="15" hidden="false" customHeight="false" outlineLevel="0" collapsed="false">
      <c r="A39" s="43"/>
      <c r="B39" s="11" t="str">
        <f aca="false">IF(A39="","",TEXT(A39,"ddd"))</f>
        <v/>
      </c>
      <c r="C39" s="44"/>
      <c r="D39" s="16"/>
      <c r="E39" s="16"/>
      <c r="F39" s="16"/>
      <c r="G39" s="16"/>
      <c r="H39" s="45"/>
      <c r="I39" s="45"/>
      <c r="J39" s="11" t="str">
        <f aca="false">IF(I39="","",LEN(I39))</f>
        <v/>
      </c>
      <c r="K39" s="16"/>
      <c r="L39" s="16"/>
      <c r="M39" s="11" t="str">
        <f aca="false">IF(L39="","",IFERROR(INDEX('Hashtag Bank'!$E$5:$E$104,MATCH(L39,'Hashtag Bank'!$B$5:$B$104,0)),""))</f>
        <v/>
      </c>
      <c r="N39" s="16"/>
      <c r="O39" s="16"/>
      <c r="P39" s="16"/>
      <c r="Q39" s="46" t="str">
        <f aca="true">IF(A39&amp;H39="","",TRIM(IF(AND(A39&lt;&gt;"",A39&lt;TODAY(),O39&lt;&gt;"Published",O39&lt;&gt;"Repurpose"),"⚠ Overdue ","")&amp;IF(AND(J39&lt;&gt;"",D39&lt;&gt;"",IFERROR(J39&gt;INDEX(Setup!$E$9:$E$18,MATCH(D39,Setup!$B$9:$B$18,0)),FALSE())),"✂ Caption too long ","")&amp;IF(AND(M39&lt;&gt;"",D39&lt;&gt;"",IFERROR(M39&gt;INDEX(Setup!$F$9:$F$18,MATCH(D39,Setup!$B$9:$B$18,0)),FALSE())),"# Too many tags","")))</f>
        <v/>
      </c>
      <c r="R39" s="16"/>
      <c r="S39" s="19"/>
      <c r="T39" s="19"/>
      <c r="U39" s="19"/>
      <c r="V39" s="19"/>
      <c r="W39" s="19"/>
      <c r="X39" s="19"/>
      <c r="Y39" s="19"/>
      <c r="Z39" s="47" t="str">
        <f aca="false">IF(COUNT(U39:X39)=0,"",SUM(U39:X39))</f>
        <v/>
      </c>
      <c r="AA39" s="48" t="str">
        <f aca="false">IF(OR(Z39="",N(T39)=0),"",Z39/T39)</f>
        <v/>
      </c>
      <c r="AB39" s="45"/>
      <c r="AC39" s="51" t="str">
        <f aca="false">IF(A39="","",A39+N(C39)+ROW()/10^7)</f>
        <v/>
      </c>
      <c r="AD39" s="51" t="str">
        <f aca="false">IF(A39="","",TEXT(A39,"0")&amp;"|"&amp;COUNTIFS('Content Log'!$A$5:$A$504,A39,'Content Log'!$AC$5:$AC$504,"&lt;="&amp;AC39))</f>
        <v/>
      </c>
      <c r="AE39" s="51" t="str">
        <f aca="false">IF(A39="","",IFERROR(INDEX(Setup!$N$9:$N$14,MATCH(O39,Setup!$M$9:$M$14,0))&amp;" ","")&amp;IF(C39="","",TEXT(C39,"h:mm AM/PM")&amp;" ")&amp;D39&amp;IF(H39="",""," · "&amp;H39))</f>
        <v/>
      </c>
      <c r="AF39" s="51" t="str">
        <f aca="false">IF(OR(A39="",AA39=""),"",IF(AND(A39&gt;=Dashboard!$G$4,A39&lt;=Dashboard!$I$4),AA39+ROW()/10^9,""))</f>
        <v/>
      </c>
      <c r="AG39" s="51" t="str">
        <f aca="false">IF(A39="","",WEEKDAY(A39,2))</f>
        <v/>
      </c>
    </row>
    <row r="40" customFormat="false" ht="15" hidden="false" customHeight="false" outlineLevel="0" collapsed="false">
      <c r="A40" s="43"/>
      <c r="B40" s="11" t="str">
        <f aca="false">IF(A40="","",TEXT(A40,"ddd"))</f>
        <v/>
      </c>
      <c r="C40" s="44"/>
      <c r="D40" s="16"/>
      <c r="E40" s="16"/>
      <c r="F40" s="16"/>
      <c r="G40" s="16"/>
      <c r="H40" s="45"/>
      <c r="I40" s="45"/>
      <c r="J40" s="11" t="str">
        <f aca="false">IF(I40="","",LEN(I40))</f>
        <v/>
      </c>
      <c r="K40" s="16"/>
      <c r="L40" s="16"/>
      <c r="M40" s="11" t="str">
        <f aca="false">IF(L40="","",IFERROR(INDEX('Hashtag Bank'!$E$5:$E$104,MATCH(L40,'Hashtag Bank'!$B$5:$B$104,0)),""))</f>
        <v/>
      </c>
      <c r="N40" s="16"/>
      <c r="O40" s="16"/>
      <c r="P40" s="16"/>
      <c r="Q40" s="46" t="str">
        <f aca="true">IF(A40&amp;H40="","",TRIM(IF(AND(A40&lt;&gt;"",A40&lt;TODAY(),O40&lt;&gt;"Published",O40&lt;&gt;"Repurpose"),"⚠ Overdue ","")&amp;IF(AND(J40&lt;&gt;"",D40&lt;&gt;"",IFERROR(J40&gt;INDEX(Setup!$E$9:$E$18,MATCH(D40,Setup!$B$9:$B$18,0)),FALSE())),"✂ Caption too long ","")&amp;IF(AND(M40&lt;&gt;"",D40&lt;&gt;"",IFERROR(M40&gt;INDEX(Setup!$F$9:$F$18,MATCH(D40,Setup!$B$9:$B$18,0)),FALSE())),"# Too many tags","")))</f>
        <v/>
      </c>
      <c r="R40" s="16"/>
      <c r="S40" s="19"/>
      <c r="T40" s="19"/>
      <c r="U40" s="19"/>
      <c r="V40" s="19"/>
      <c r="W40" s="19"/>
      <c r="X40" s="19"/>
      <c r="Y40" s="19"/>
      <c r="Z40" s="47" t="str">
        <f aca="false">IF(COUNT(U40:X40)=0,"",SUM(U40:X40))</f>
        <v/>
      </c>
      <c r="AA40" s="48" t="str">
        <f aca="false">IF(OR(Z40="",N(T40)=0),"",Z40/T40)</f>
        <v/>
      </c>
      <c r="AB40" s="45"/>
      <c r="AC40" s="51" t="str">
        <f aca="false">IF(A40="","",A40+N(C40)+ROW()/10^7)</f>
        <v/>
      </c>
      <c r="AD40" s="51" t="str">
        <f aca="false">IF(A40="","",TEXT(A40,"0")&amp;"|"&amp;COUNTIFS('Content Log'!$A$5:$A$504,A40,'Content Log'!$AC$5:$AC$504,"&lt;="&amp;AC40))</f>
        <v/>
      </c>
      <c r="AE40" s="51" t="str">
        <f aca="false">IF(A40="","",IFERROR(INDEX(Setup!$N$9:$N$14,MATCH(O40,Setup!$M$9:$M$14,0))&amp;" ","")&amp;IF(C40="","",TEXT(C40,"h:mm AM/PM")&amp;" ")&amp;D40&amp;IF(H40="",""," · "&amp;H40))</f>
        <v/>
      </c>
      <c r="AF40" s="51" t="str">
        <f aca="false">IF(OR(A40="",AA40=""),"",IF(AND(A40&gt;=Dashboard!$G$4,A40&lt;=Dashboard!$I$4),AA40+ROW()/10^9,""))</f>
        <v/>
      </c>
      <c r="AG40" s="51" t="str">
        <f aca="false">IF(A40="","",WEEKDAY(A40,2))</f>
        <v/>
      </c>
    </row>
    <row r="41" customFormat="false" ht="15" hidden="false" customHeight="false" outlineLevel="0" collapsed="false">
      <c r="A41" s="43"/>
      <c r="B41" s="11" t="str">
        <f aca="false">IF(A41="","",TEXT(A41,"ddd"))</f>
        <v/>
      </c>
      <c r="C41" s="44"/>
      <c r="D41" s="16"/>
      <c r="E41" s="16"/>
      <c r="F41" s="16"/>
      <c r="G41" s="16"/>
      <c r="H41" s="45"/>
      <c r="I41" s="45"/>
      <c r="J41" s="11" t="str">
        <f aca="false">IF(I41="","",LEN(I41))</f>
        <v/>
      </c>
      <c r="K41" s="16"/>
      <c r="L41" s="16"/>
      <c r="M41" s="11" t="str">
        <f aca="false">IF(L41="","",IFERROR(INDEX('Hashtag Bank'!$E$5:$E$104,MATCH(L41,'Hashtag Bank'!$B$5:$B$104,0)),""))</f>
        <v/>
      </c>
      <c r="N41" s="16"/>
      <c r="O41" s="16"/>
      <c r="P41" s="16"/>
      <c r="Q41" s="46" t="str">
        <f aca="true">IF(A41&amp;H41="","",TRIM(IF(AND(A41&lt;&gt;"",A41&lt;TODAY(),O41&lt;&gt;"Published",O41&lt;&gt;"Repurpose"),"⚠ Overdue ","")&amp;IF(AND(J41&lt;&gt;"",D41&lt;&gt;"",IFERROR(J41&gt;INDEX(Setup!$E$9:$E$18,MATCH(D41,Setup!$B$9:$B$18,0)),FALSE())),"✂ Caption too long ","")&amp;IF(AND(M41&lt;&gt;"",D41&lt;&gt;"",IFERROR(M41&gt;INDEX(Setup!$F$9:$F$18,MATCH(D41,Setup!$B$9:$B$18,0)),FALSE())),"# Too many tags","")))</f>
        <v/>
      </c>
      <c r="R41" s="16"/>
      <c r="S41" s="19"/>
      <c r="T41" s="19"/>
      <c r="U41" s="19"/>
      <c r="V41" s="19"/>
      <c r="W41" s="19"/>
      <c r="X41" s="19"/>
      <c r="Y41" s="19"/>
      <c r="Z41" s="47" t="str">
        <f aca="false">IF(COUNT(U41:X41)=0,"",SUM(U41:X41))</f>
        <v/>
      </c>
      <c r="AA41" s="48" t="str">
        <f aca="false">IF(OR(Z41="",N(T41)=0),"",Z41/T41)</f>
        <v/>
      </c>
      <c r="AB41" s="45"/>
      <c r="AC41" s="51" t="str">
        <f aca="false">IF(A41="","",A41+N(C41)+ROW()/10^7)</f>
        <v/>
      </c>
      <c r="AD41" s="51" t="str">
        <f aca="false">IF(A41="","",TEXT(A41,"0")&amp;"|"&amp;COUNTIFS('Content Log'!$A$5:$A$504,A41,'Content Log'!$AC$5:$AC$504,"&lt;="&amp;AC41))</f>
        <v/>
      </c>
      <c r="AE41" s="51" t="str">
        <f aca="false">IF(A41="","",IFERROR(INDEX(Setup!$N$9:$N$14,MATCH(O41,Setup!$M$9:$M$14,0))&amp;" ","")&amp;IF(C41="","",TEXT(C41,"h:mm AM/PM")&amp;" ")&amp;D41&amp;IF(H41="",""," · "&amp;H41))</f>
        <v/>
      </c>
      <c r="AF41" s="51" t="str">
        <f aca="false">IF(OR(A41="",AA41=""),"",IF(AND(A41&gt;=Dashboard!$G$4,A41&lt;=Dashboard!$I$4),AA41+ROW()/10^9,""))</f>
        <v/>
      </c>
      <c r="AG41" s="51" t="str">
        <f aca="false">IF(A41="","",WEEKDAY(A41,2))</f>
        <v/>
      </c>
    </row>
    <row r="42" customFormat="false" ht="15" hidden="false" customHeight="false" outlineLevel="0" collapsed="false">
      <c r="A42" s="43"/>
      <c r="B42" s="11" t="str">
        <f aca="false">IF(A42="","",TEXT(A42,"ddd"))</f>
        <v/>
      </c>
      <c r="C42" s="44"/>
      <c r="D42" s="16"/>
      <c r="E42" s="16"/>
      <c r="F42" s="16"/>
      <c r="G42" s="16"/>
      <c r="H42" s="45"/>
      <c r="I42" s="45"/>
      <c r="J42" s="11" t="str">
        <f aca="false">IF(I42="","",LEN(I42))</f>
        <v/>
      </c>
      <c r="K42" s="16"/>
      <c r="L42" s="16"/>
      <c r="M42" s="11" t="str">
        <f aca="false">IF(L42="","",IFERROR(INDEX('Hashtag Bank'!$E$5:$E$104,MATCH(L42,'Hashtag Bank'!$B$5:$B$104,0)),""))</f>
        <v/>
      </c>
      <c r="N42" s="16"/>
      <c r="O42" s="16"/>
      <c r="P42" s="16"/>
      <c r="Q42" s="46" t="str">
        <f aca="true">IF(A42&amp;H42="","",TRIM(IF(AND(A42&lt;&gt;"",A42&lt;TODAY(),O42&lt;&gt;"Published",O42&lt;&gt;"Repurpose"),"⚠ Overdue ","")&amp;IF(AND(J42&lt;&gt;"",D42&lt;&gt;"",IFERROR(J42&gt;INDEX(Setup!$E$9:$E$18,MATCH(D42,Setup!$B$9:$B$18,0)),FALSE())),"✂ Caption too long ","")&amp;IF(AND(M42&lt;&gt;"",D42&lt;&gt;"",IFERROR(M42&gt;INDEX(Setup!$F$9:$F$18,MATCH(D42,Setup!$B$9:$B$18,0)),FALSE())),"# Too many tags","")))</f>
        <v/>
      </c>
      <c r="R42" s="16"/>
      <c r="S42" s="19"/>
      <c r="T42" s="19"/>
      <c r="U42" s="19"/>
      <c r="V42" s="19"/>
      <c r="W42" s="19"/>
      <c r="X42" s="19"/>
      <c r="Y42" s="19"/>
      <c r="Z42" s="47" t="str">
        <f aca="false">IF(COUNT(U42:X42)=0,"",SUM(U42:X42))</f>
        <v/>
      </c>
      <c r="AA42" s="48" t="str">
        <f aca="false">IF(OR(Z42="",N(T42)=0),"",Z42/T42)</f>
        <v/>
      </c>
      <c r="AB42" s="45"/>
      <c r="AC42" s="51" t="str">
        <f aca="false">IF(A42="","",A42+N(C42)+ROW()/10^7)</f>
        <v/>
      </c>
      <c r="AD42" s="51" t="str">
        <f aca="false">IF(A42="","",TEXT(A42,"0")&amp;"|"&amp;COUNTIFS('Content Log'!$A$5:$A$504,A42,'Content Log'!$AC$5:$AC$504,"&lt;="&amp;AC42))</f>
        <v/>
      </c>
      <c r="AE42" s="51" t="str">
        <f aca="false">IF(A42="","",IFERROR(INDEX(Setup!$N$9:$N$14,MATCH(O42,Setup!$M$9:$M$14,0))&amp;" ","")&amp;IF(C42="","",TEXT(C42,"h:mm AM/PM")&amp;" ")&amp;D42&amp;IF(H42="",""," · "&amp;H42))</f>
        <v/>
      </c>
      <c r="AF42" s="51" t="str">
        <f aca="false">IF(OR(A42="",AA42=""),"",IF(AND(A42&gt;=Dashboard!$G$4,A42&lt;=Dashboard!$I$4),AA42+ROW()/10^9,""))</f>
        <v/>
      </c>
      <c r="AG42" s="51" t="str">
        <f aca="false">IF(A42="","",WEEKDAY(A42,2))</f>
        <v/>
      </c>
    </row>
    <row r="43" customFormat="false" ht="15" hidden="false" customHeight="false" outlineLevel="0" collapsed="false">
      <c r="A43" s="43"/>
      <c r="B43" s="11" t="str">
        <f aca="false">IF(A43="","",TEXT(A43,"ddd"))</f>
        <v/>
      </c>
      <c r="C43" s="44"/>
      <c r="D43" s="16"/>
      <c r="E43" s="16"/>
      <c r="F43" s="16"/>
      <c r="G43" s="16"/>
      <c r="H43" s="45"/>
      <c r="I43" s="45"/>
      <c r="J43" s="11" t="str">
        <f aca="false">IF(I43="","",LEN(I43))</f>
        <v/>
      </c>
      <c r="K43" s="16"/>
      <c r="L43" s="16"/>
      <c r="M43" s="11" t="str">
        <f aca="false">IF(L43="","",IFERROR(INDEX('Hashtag Bank'!$E$5:$E$104,MATCH(L43,'Hashtag Bank'!$B$5:$B$104,0)),""))</f>
        <v/>
      </c>
      <c r="N43" s="16"/>
      <c r="O43" s="16"/>
      <c r="P43" s="16"/>
      <c r="Q43" s="46" t="str">
        <f aca="true">IF(A43&amp;H43="","",TRIM(IF(AND(A43&lt;&gt;"",A43&lt;TODAY(),O43&lt;&gt;"Published",O43&lt;&gt;"Repurpose"),"⚠ Overdue ","")&amp;IF(AND(J43&lt;&gt;"",D43&lt;&gt;"",IFERROR(J43&gt;INDEX(Setup!$E$9:$E$18,MATCH(D43,Setup!$B$9:$B$18,0)),FALSE())),"✂ Caption too long ","")&amp;IF(AND(M43&lt;&gt;"",D43&lt;&gt;"",IFERROR(M43&gt;INDEX(Setup!$F$9:$F$18,MATCH(D43,Setup!$B$9:$B$18,0)),FALSE())),"# Too many tags","")))</f>
        <v/>
      </c>
      <c r="R43" s="16"/>
      <c r="S43" s="19"/>
      <c r="T43" s="19"/>
      <c r="U43" s="19"/>
      <c r="V43" s="19"/>
      <c r="W43" s="19"/>
      <c r="X43" s="19"/>
      <c r="Y43" s="19"/>
      <c r="Z43" s="47" t="str">
        <f aca="false">IF(COUNT(U43:X43)=0,"",SUM(U43:X43))</f>
        <v/>
      </c>
      <c r="AA43" s="48" t="str">
        <f aca="false">IF(OR(Z43="",N(T43)=0),"",Z43/T43)</f>
        <v/>
      </c>
      <c r="AB43" s="45"/>
      <c r="AC43" s="51" t="str">
        <f aca="false">IF(A43="","",A43+N(C43)+ROW()/10^7)</f>
        <v/>
      </c>
      <c r="AD43" s="51" t="str">
        <f aca="false">IF(A43="","",TEXT(A43,"0")&amp;"|"&amp;COUNTIFS('Content Log'!$A$5:$A$504,A43,'Content Log'!$AC$5:$AC$504,"&lt;="&amp;AC43))</f>
        <v/>
      </c>
      <c r="AE43" s="51" t="str">
        <f aca="false">IF(A43="","",IFERROR(INDEX(Setup!$N$9:$N$14,MATCH(O43,Setup!$M$9:$M$14,0))&amp;" ","")&amp;IF(C43="","",TEXT(C43,"h:mm AM/PM")&amp;" ")&amp;D43&amp;IF(H43="",""," · "&amp;H43))</f>
        <v/>
      </c>
      <c r="AF43" s="51" t="str">
        <f aca="false">IF(OR(A43="",AA43=""),"",IF(AND(A43&gt;=Dashboard!$G$4,A43&lt;=Dashboard!$I$4),AA43+ROW()/10^9,""))</f>
        <v/>
      </c>
      <c r="AG43" s="51" t="str">
        <f aca="false">IF(A43="","",WEEKDAY(A43,2))</f>
        <v/>
      </c>
    </row>
    <row r="44" customFormat="false" ht="15" hidden="false" customHeight="false" outlineLevel="0" collapsed="false">
      <c r="A44" s="43"/>
      <c r="B44" s="11" t="str">
        <f aca="false">IF(A44="","",TEXT(A44,"ddd"))</f>
        <v/>
      </c>
      <c r="C44" s="44"/>
      <c r="D44" s="16"/>
      <c r="E44" s="16"/>
      <c r="F44" s="16"/>
      <c r="G44" s="16"/>
      <c r="H44" s="45"/>
      <c r="I44" s="45"/>
      <c r="J44" s="11" t="str">
        <f aca="false">IF(I44="","",LEN(I44))</f>
        <v/>
      </c>
      <c r="K44" s="16"/>
      <c r="L44" s="16"/>
      <c r="M44" s="11" t="str">
        <f aca="false">IF(L44="","",IFERROR(INDEX('Hashtag Bank'!$E$5:$E$104,MATCH(L44,'Hashtag Bank'!$B$5:$B$104,0)),""))</f>
        <v/>
      </c>
      <c r="N44" s="16"/>
      <c r="O44" s="16"/>
      <c r="P44" s="16"/>
      <c r="Q44" s="46" t="str">
        <f aca="true">IF(A44&amp;H44="","",TRIM(IF(AND(A44&lt;&gt;"",A44&lt;TODAY(),O44&lt;&gt;"Published",O44&lt;&gt;"Repurpose"),"⚠ Overdue ","")&amp;IF(AND(J44&lt;&gt;"",D44&lt;&gt;"",IFERROR(J44&gt;INDEX(Setup!$E$9:$E$18,MATCH(D44,Setup!$B$9:$B$18,0)),FALSE())),"✂ Caption too long ","")&amp;IF(AND(M44&lt;&gt;"",D44&lt;&gt;"",IFERROR(M44&gt;INDEX(Setup!$F$9:$F$18,MATCH(D44,Setup!$B$9:$B$18,0)),FALSE())),"# Too many tags","")))</f>
        <v/>
      </c>
      <c r="R44" s="16"/>
      <c r="S44" s="19"/>
      <c r="T44" s="19"/>
      <c r="U44" s="19"/>
      <c r="V44" s="19"/>
      <c r="W44" s="19"/>
      <c r="X44" s="19"/>
      <c r="Y44" s="19"/>
      <c r="Z44" s="47" t="str">
        <f aca="false">IF(COUNT(U44:X44)=0,"",SUM(U44:X44))</f>
        <v/>
      </c>
      <c r="AA44" s="48" t="str">
        <f aca="false">IF(OR(Z44="",N(T44)=0),"",Z44/T44)</f>
        <v/>
      </c>
      <c r="AB44" s="45"/>
      <c r="AC44" s="51" t="str">
        <f aca="false">IF(A44="","",A44+N(C44)+ROW()/10^7)</f>
        <v/>
      </c>
      <c r="AD44" s="51" t="str">
        <f aca="false">IF(A44="","",TEXT(A44,"0")&amp;"|"&amp;COUNTIFS('Content Log'!$A$5:$A$504,A44,'Content Log'!$AC$5:$AC$504,"&lt;="&amp;AC44))</f>
        <v/>
      </c>
      <c r="AE44" s="51" t="str">
        <f aca="false">IF(A44="","",IFERROR(INDEX(Setup!$N$9:$N$14,MATCH(O44,Setup!$M$9:$M$14,0))&amp;" ","")&amp;IF(C44="","",TEXT(C44,"h:mm AM/PM")&amp;" ")&amp;D44&amp;IF(H44="",""," · "&amp;H44))</f>
        <v/>
      </c>
      <c r="AF44" s="51" t="str">
        <f aca="false">IF(OR(A44="",AA44=""),"",IF(AND(A44&gt;=Dashboard!$G$4,A44&lt;=Dashboard!$I$4),AA44+ROW()/10^9,""))</f>
        <v/>
      </c>
      <c r="AG44" s="51" t="str">
        <f aca="false">IF(A44="","",WEEKDAY(A44,2))</f>
        <v/>
      </c>
    </row>
    <row r="45" customFormat="false" ht="15" hidden="false" customHeight="false" outlineLevel="0" collapsed="false">
      <c r="A45" s="43"/>
      <c r="B45" s="11" t="str">
        <f aca="false">IF(A45="","",TEXT(A45,"ddd"))</f>
        <v/>
      </c>
      <c r="C45" s="44"/>
      <c r="D45" s="16"/>
      <c r="E45" s="16"/>
      <c r="F45" s="16"/>
      <c r="G45" s="16"/>
      <c r="H45" s="45"/>
      <c r="I45" s="45"/>
      <c r="J45" s="11" t="str">
        <f aca="false">IF(I45="","",LEN(I45))</f>
        <v/>
      </c>
      <c r="K45" s="16"/>
      <c r="L45" s="16"/>
      <c r="M45" s="11" t="str">
        <f aca="false">IF(L45="","",IFERROR(INDEX('Hashtag Bank'!$E$5:$E$104,MATCH(L45,'Hashtag Bank'!$B$5:$B$104,0)),""))</f>
        <v/>
      </c>
      <c r="N45" s="16"/>
      <c r="O45" s="16"/>
      <c r="P45" s="16"/>
      <c r="Q45" s="46" t="str">
        <f aca="true">IF(A45&amp;H45="","",TRIM(IF(AND(A45&lt;&gt;"",A45&lt;TODAY(),O45&lt;&gt;"Published",O45&lt;&gt;"Repurpose"),"⚠ Overdue ","")&amp;IF(AND(J45&lt;&gt;"",D45&lt;&gt;"",IFERROR(J45&gt;INDEX(Setup!$E$9:$E$18,MATCH(D45,Setup!$B$9:$B$18,0)),FALSE())),"✂ Caption too long ","")&amp;IF(AND(M45&lt;&gt;"",D45&lt;&gt;"",IFERROR(M45&gt;INDEX(Setup!$F$9:$F$18,MATCH(D45,Setup!$B$9:$B$18,0)),FALSE())),"# Too many tags","")))</f>
        <v/>
      </c>
      <c r="R45" s="16"/>
      <c r="S45" s="19"/>
      <c r="T45" s="19"/>
      <c r="U45" s="19"/>
      <c r="V45" s="19"/>
      <c r="W45" s="19"/>
      <c r="X45" s="19"/>
      <c r="Y45" s="19"/>
      <c r="Z45" s="47" t="str">
        <f aca="false">IF(COUNT(U45:X45)=0,"",SUM(U45:X45))</f>
        <v/>
      </c>
      <c r="AA45" s="48" t="str">
        <f aca="false">IF(OR(Z45="",N(T45)=0),"",Z45/T45)</f>
        <v/>
      </c>
      <c r="AB45" s="45"/>
      <c r="AC45" s="51" t="str">
        <f aca="false">IF(A45="","",A45+N(C45)+ROW()/10^7)</f>
        <v/>
      </c>
      <c r="AD45" s="51" t="str">
        <f aca="false">IF(A45="","",TEXT(A45,"0")&amp;"|"&amp;COUNTIFS('Content Log'!$A$5:$A$504,A45,'Content Log'!$AC$5:$AC$504,"&lt;="&amp;AC45))</f>
        <v/>
      </c>
      <c r="AE45" s="51" t="str">
        <f aca="false">IF(A45="","",IFERROR(INDEX(Setup!$N$9:$N$14,MATCH(O45,Setup!$M$9:$M$14,0))&amp;" ","")&amp;IF(C45="","",TEXT(C45,"h:mm AM/PM")&amp;" ")&amp;D45&amp;IF(H45="",""," · "&amp;H45))</f>
        <v/>
      </c>
      <c r="AF45" s="51" t="str">
        <f aca="false">IF(OR(A45="",AA45=""),"",IF(AND(A45&gt;=Dashboard!$G$4,A45&lt;=Dashboard!$I$4),AA45+ROW()/10^9,""))</f>
        <v/>
      </c>
      <c r="AG45" s="51" t="str">
        <f aca="false">IF(A45="","",WEEKDAY(A45,2))</f>
        <v/>
      </c>
    </row>
    <row r="46" customFormat="false" ht="15" hidden="false" customHeight="false" outlineLevel="0" collapsed="false">
      <c r="A46" s="43"/>
      <c r="B46" s="11" t="str">
        <f aca="false">IF(A46="","",TEXT(A46,"ddd"))</f>
        <v/>
      </c>
      <c r="C46" s="44"/>
      <c r="D46" s="16"/>
      <c r="E46" s="16"/>
      <c r="F46" s="16"/>
      <c r="G46" s="16"/>
      <c r="H46" s="45"/>
      <c r="I46" s="45"/>
      <c r="J46" s="11" t="str">
        <f aca="false">IF(I46="","",LEN(I46))</f>
        <v/>
      </c>
      <c r="K46" s="16"/>
      <c r="L46" s="16"/>
      <c r="M46" s="11" t="str">
        <f aca="false">IF(L46="","",IFERROR(INDEX('Hashtag Bank'!$E$5:$E$104,MATCH(L46,'Hashtag Bank'!$B$5:$B$104,0)),""))</f>
        <v/>
      </c>
      <c r="N46" s="16"/>
      <c r="O46" s="16"/>
      <c r="P46" s="16"/>
      <c r="Q46" s="46" t="str">
        <f aca="true">IF(A46&amp;H46="","",TRIM(IF(AND(A46&lt;&gt;"",A46&lt;TODAY(),O46&lt;&gt;"Published",O46&lt;&gt;"Repurpose"),"⚠ Overdue ","")&amp;IF(AND(J46&lt;&gt;"",D46&lt;&gt;"",IFERROR(J46&gt;INDEX(Setup!$E$9:$E$18,MATCH(D46,Setup!$B$9:$B$18,0)),FALSE())),"✂ Caption too long ","")&amp;IF(AND(M46&lt;&gt;"",D46&lt;&gt;"",IFERROR(M46&gt;INDEX(Setup!$F$9:$F$18,MATCH(D46,Setup!$B$9:$B$18,0)),FALSE())),"# Too many tags","")))</f>
        <v/>
      </c>
      <c r="R46" s="16"/>
      <c r="S46" s="19"/>
      <c r="T46" s="19"/>
      <c r="U46" s="19"/>
      <c r="V46" s="19"/>
      <c r="W46" s="19"/>
      <c r="X46" s="19"/>
      <c r="Y46" s="19"/>
      <c r="Z46" s="47" t="str">
        <f aca="false">IF(COUNT(U46:X46)=0,"",SUM(U46:X46))</f>
        <v/>
      </c>
      <c r="AA46" s="48" t="str">
        <f aca="false">IF(OR(Z46="",N(T46)=0),"",Z46/T46)</f>
        <v/>
      </c>
      <c r="AB46" s="45"/>
      <c r="AC46" s="51" t="str">
        <f aca="false">IF(A46="","",A46+N(C46)+ROW()/10^7)</f>
        <v/>
      </c>
      <c r="AD46" s="51" t="str">
        <f aca="false">IF(A46="","",TEXT(A46,"0")&amp;"|"&amp;COUNTIFS('Content Log'!$A$5:$A$504,A46,'Content Log'!$AC$5:$AC$504,"&lt;="&amp;AC46))</f>
        <v/>
      </c>
      <c r="AE46" s="51" t="str">
        <f aca="false">IF(A46="","",IFERROR(INDEX(Setup!$N$9:$N$14,MATCH(O46,Setup!$M$9:$M$14,0))&amp;" ","")&amp;IF(C46="","",TEXT(C46,"h:mm AM/PM")&amp;" ")&amp;D46&amp;IF(H46="",""," · "&amp;H46))</f>
        <v/>
      </c>
      <c r="AF46" s="51" t="str">
        <f aca="false">IF(OR(A46="",AA46=""),"",IF(AND(A46&gt;=Dashboard!$G$4,A46&lt;=Dashboard!$I$4),AA46+ROW()/10^9,""))</f>
        <v/>
      </c>
      <c r="AG46" s="51" t="str">
        <f aca="false">IF(A46="","",WEEKDAY(A46,2))</f>
        <v/>
      </c>
    </row>
    <row r="47" customFormat="false" ht="15" hidden="false" customHeight="false" outlineLevel="0" collapsed="false">
      <c r="A47" s="43"/>
      <c r="B47" s="11" t="str">
        <f aca="false">IF(A47="","",TEXT(A47,"ddd"))</f>
        <v/>
      </c>
      <c r="C47" s="44"/>
      <c r="D47" s="16"/>
      <c r="E47" s="16"/>
      <c r="F47" s="16"/>
      <c r="G47" s="16"/>
      <c r="H47" s="45"/>
      <c r="I47" s="45"/>
      <c r="J47" s="11" t="str">
        <f aca="false">IF(I47="","",LEN(I47))</f>
        <v/>
      </c>
      <c r="K47" s="16"/>
      <c r="L47" s="16"/>
      <c r="M47" s="11" t="str">
        <f aca="false">IF(L47="","",IFERROR(INDEX('Hashtag Bank'!$E$5:$E$104,MATCH(L47,'Hashtag Bank'!$B$5:$B$104,0)),""))</f>
        <v/>
      </c>
      <c r="N47" s="16"/>
      <c r="O47" s="16"/>
      <c r="P47" s="16"/>
      <c r="Q47" s="46" t="str">
        <f aca="true">IF(A47&amp;H47="","",TRIM(IF(AND(A47&lt;&gt;"",A47&lt;TODAY(),O47&lt;&gt;"Published",O47&lt;&gt;"Repurpose"),"⚠ Overdue ","")&amp;IF(AND(J47&lt;&gt;"",D47&lt;&gt;"",IFERROR(J47&gt;INDEX(Setup!$E$9:$E$18,MATCH(D47,Setup!$B$9:$B$18,0)),FALSE())),"✂ Caption too long ","")&amp;IF(AND(M47&lt;&gt;"",D47&lt;&gt;"",IFERROR(M47&gt;INDEX(Setup!$F$9:$F$18,MATCH(D47,Setup!$B$9:$B$18,0)),FALSE())),"# Too many tags","")))</f>
        <v/>
      </c>
      <c r="R47" s="16"/>
      <c r="S47" s="19"/>
      <c r="T47" s="19"/>
      <c r="U47" s="19"/>
      <c r="V47" s="19"/>
      <c r="W47" s="19"/>
      <c r="X47" s="19"/>
      <c r="Y47" s="19"/>
      <c r="Z47" s="47" t="str">
        <f aca="false">IF(COUNT(U47:X47)=0,"",SUM(U47:X47))</f>
        <v/>
      </c>
      <c r="AA47" s="48" t="str">
        <f aca="false">IF(OR(Z47="",N(T47)=0),"",Z47/T47)</f>
        <v/>
      </c>
      <c r="AB47" s="45"/>
      <c r="AC47" s="51" t="str">
        <f aca="false">IF(A47="","",A47+N(C47)+ROW()/10^7)</f>
        <v/>
      </c>
      <c r="AD47" s="51" t="str">
        <f aca="false">IF(A47="","",TEXT(A47,"0")&amp;"|"&amp;COUNTIFS('Content Log'!$A$5:$A$504,A47,'Content Log'!$AC$5:$AC$504,"&lt;="&amp;AC47))</f>
        <v/>
      </c>
      <c r="AE47" s="51" t="str">
        <f aca="false">IF(A47="","",IFERROR(INDEX(Setup!$N$9:$N$14,MATCH(O47,Setup!$M$9:$M$14,0))&amp;" ","")&amp;IF(C47="","",TEXT(C47,"h:mm AM/PM")&amp;" ")&amp;D47&amp;IF(H47="",""," · "&amp;H47))</f>
        <v/>
      </c>
      <c r="AF47" s="51" t="str">
        <f aca="false">IF(OR(A47="",AA47=""),"",IF(AND(A47&gt;=Dashboard!$G$4,A47&lt;=Dashboard!$I$4),AA47+ROW()/10^9,""))</f>
        <v/>
      </c>
      <c r="AG47" s="51" t="str">
        <f aca="false">IF(A47="","",WEEKDAY(A47,2))</f>
        <v/>
      </c>
    </row>
    <row r="48" customFormat="false" ht="15" hidden="false" customHeight="false" outlineLevel="0" collapsed="false">
      <c r="A48" s="43"/>
      <c r="B48" s="11" t="str">
        <f aca="false">IF(A48="","",TEXT(A48,"ddd"))</f>
        <v/>
      </c>
      <c r="C48" s="44"/>
      <c r="D48" s="16"/>
      <c r="E48" s="16"/>
      <c r="F48" s="16"/>
      <c r="G48" s="16"/>
      <c r="H48" s="45"/>
      <c r="I48" s="45"/>
      <c r="J48" s="11" t="str">
        <f aca="false">IF(I48="","",LEN(I48))</f>
        <v/>
      </c>
      <c r="K48" s="16"/>
      <c r="L48" s="16"/>
      <c r="M48" s="11" t="str">
        <f aca="false">IF(L48="","",IFERROR(INDEX('Hashtag Bank'!$E$5:$E$104,MATCH(L48,'Hashtag Bank'!$B$5:$B$104,0)),""))</f>
        <v/>
      </c>
      <c r="N48" s="16"/>
      <c r="O48" s="16"/>
      <c r="P48" s="16"/>
      <c r="Q48" s="46" t="str">
        <f aca="true">IF(A48&amp;H48="","",TRIM(IF(AND(A48&lt;&gt;"",A48&lt;TODAY(),O48&lt;&gt;"Published",O48&lt;&gt;"Repurpose"),"⚠ Overdue ","")&amp;IF(AND(J48&lt;&gt;"",D48&lt;&gt;"",IFERROR(J48&gt;INDEX(Setup!$E$9:$E$18,MATCH(D48,Setup!$B$9:$B$18,0)),FALSE())),"✂ Caption too long ","")&amp;IF(AND(M48&lt;&gt;"",D48&lt;&gt;"",IFERROR(M48&gt;INDEX(Setup!$F$9:$F$18,MATCH(D48,Setup!$B$9:$B$18,0)),FALSE())),"# Too many tags","")))</f>
        <v/>
      </c>
      <c r="R48" s="16"/>
      <c r="S48" s="19"/>
      <c r="T48" s="19"/>
      <c r="U48" s="19"/>
      <c r="V48" s="19"/>
      <c r="W48" s="19"/>
      <c r="X48" s="19"/>
      <c r="Y48" s="19"/>
      <c r="Z48" s="47" t="str">
        <f aca="false">IF(COUNT(U48:X48)=0,"",SUM(U48:X48))</f>
        <v/>
      </c>
      <c r="AA48" s="48" t="str">
        <f aca="false">IF(OR(Z48="",N(T48)=0),"",Z48/T48)</f>
        <v/>
      </c>
      <c r="AB48" s="45"/>
      <c r="AC48" s="51" t="str">
        <f aca="false">IF(A48="","",A48+N(C48)+ROW()/10^7)</f>
        <v/>
      </c>
      <c r="AD48" s="51" t="str">
        <f aca="false">IF(A48="","",TEXT(A48,"0")&amp;"|"&amp;COUNTIFS('Content Log'!$A$5:$A$504,A48,'Content Log'!$AC$5:$AC$504,"&lt;="&amp;AC48))</f>
        <v/>
      </c>
      <c r="AE48" s="51" t="str">
        <f aca="false">IF(A48="","",IFERROR(INDEX(Setup!$N$9:$N$14,MATCH(O48,Setup!$M$9:$M$14,0))&amp;" ","")&amp;IF(C48="","",TEXT(C48,"h:mm AM/PM")&amp;" ")&amp;D48&amp;IF(H48="",""," · "&amp;H48))</f>
        <v/>
      </c>
      <c r="AF48" s="51" t="str">
        <f aca="false">IF(OR(A48="",AA48=""),"",IF(AND(A48&gt;=Dashboard!$G$4,A48&lt;=Dashboard!$I$4),AA48+ROW()/10^9,""))</f>
        <v/>
      </c>
      <c r="AG48" s="51" t="str">
        <f aca="false">IF(A48="","",WEEKDAY(A48,2))</f>
        <v/>
      </c>
    </row>
    <row r="49" customFormat="false" ht="15" hidden="false" customHeight="false" outlineLevel="0" collapsed="false">
      <c r="A49" s="43"/>
      <c r="B49" s="11" t="str">
        <f aca="false">IF(A49="","",TEXT(A49,"ddd"))</f>
        <v/>
      </c>
      <c r="C49" s="44"/>
      <c r="D49" s="16"/>
      <c r="E49" s="16"/>
      <c r="F49" s="16"/>
      <c r="G49" s="16"/>
      <c r="H49" s="45"/>
      <c r="I49" s="45"/>
      <c r="J49" s="11" t="str">
        <f aca="false">IF(I49="","",LEN(I49))</f>
        <v/>
      </c>
      <c r="K49" s="16"/>
      <c r="L49" s="16"/>
      <c r="M49" s="11" t="str">
        <f aca="false">IF(L49="","",IFERROR(INDEX('Hashtag Bank'!$E$5:$E$104,MATCH(L49,'Hashtag Bank'!$B$5:$B$104,0)),""))</f>
        <v/>
      </c>
      <c r="N49" s="16"/>
      <c r="O49" s="16"/>
      <c r="P49" s="16"/>
      <c r="Q49" s="46" t="str">
        <f aca="true">IF(A49&amp;H49="","",TRIM(IF(AND(A49&lt;&gt;"",A49&lt;TODAY(),O49&lt;&gt;"Published",O49&lt;&gt;"Repurpose"),"⚠ Overdue ","")&amp;IF(AND(J49&lt;&gt;"",D49&lt;&gt;"",IFERROR(J49&gt;INDEX(Setup!$E$9:$E$18,MATCH(D49,Setup!$B$9:$B$18,0)),FALSE())),"✂ Caption too long ","")&amp;IF(AND(M49&lt;&gt;"",D49&lt;&gt;"",IFERROR(M49&gt;INDEX(Setup!$F$9:$F$18,MATCH(D49,Setup!$B$9:$B$18,0)),FALSE())),"# Too many tags","")))</f>
        <v/>
      </c>
      <c r="R49" s="16"/>
      <c r="S49" s="19"/>
      <c r="T49" s="19"/>
      <c r="U49" s="19"/>
      <c r="V49" s="19"/>
      <c r="W49" s="19"/>
      <c r="X49" s="19"/>
      <c r="Y49" s="19"/>
      <c r="Z49" s="47" t="str">
        <f aca="false">IF(COUNT(U49:X49)=0,"",SUM(U49:X49))</f>
        <v/>
      </c>
      <c r="AA49" s="48" t="str">
        <f aca="false">IF(OR(Z49="",N(T49)=0),"",Z49/T49)</f>
        <v/>
      </c>
      <c r="AB49" s="45"/>
      <c r="AC49" s="51" t="str">
        <f aca="false">IF(A49="","",A49+N(C49)+ROW()/10^7)</f>
        <v/>
      </c>
      <c r="AD49" s="51" t="str">
        <f aca="false">IF(A49="","",TEXT(A49,"0")&amp;"|"&amp;COUNTIFS('Content Log'!$A$5:$A$504,A49,'Content Log'!$AC$5:$AC$504,"&lt;="&amp;AC49))</f>
        <v/>
      </c>
      <c r="AE49" s="51" t="str">
        <f aca="false">IF(A49="","",IFERROR(INDEX(Setup!$N$9:$N$14,MATCH(O49,Setup!$M$9:$M$14,0))&amp;" ","")&amp;IF(C49="","",TEXT(C49,"h:mm AM/PM")&amp;" ")&amp;D49&amp;IF(H49="",""," · "&amp;H49))</f>
        <v/>
      </c>
      <c r="AF49" s="51" t="str">
        <f aca="false">IF(OR(A49="",AA49=""),"",IF(AND(A49&gt;=Dashboard!$G$4,A49&lt;=Dashboard!$I$4),AA49+ROW()/10^9,""))</f>
        <v/>
      </c>
      <c r="AG49" s="51" t="str">
        <f aca="false">IF(A49="","",WEEKDAY(A49,2))</f>
        <v/>
      </c>
    </row>
    <row r="50" customFormat="false" ht="15" hidden="false" customHeight="false" outlineLevel="0" collapsed="false">
      <c r="A50" s="43"/>
      <c r="B50" s="11" t="str">
        <f aca="false">IF(A50="","",TEXT(A50,"ddd"))</f>
        <v/>
      </c>
      <c r="C50" s="44"/>
      <c r="D50" s="16"/>
      <c r="E50" s="16"/>
      <c r="F50" s="16"/>
      <c r="G50" s="16"/>
      <c r="H50" s="45"/>
      <c r="I50" s="45"/>
      <c r="J50" s="11" t="str">
        <f aca="false">IF(I50="","",LEN(I50))</f>
        <v/>
      </c>
      <c r="K50" s="16"/>
      <c r="L50" s="16"/>
      <c r="M50" s="11" t="str">
        <f aca="false">IF(L50="","",IFERROR(INDEX('Hashtag Bank'!$E$5:$E$104,MATCH(L50,'Hashtag Bank'!$B$5:$B$104,0)),""))</f>
        <v/>
      </c>
      <c r="N50" s="16"/>
      <c r="O50" s="16"/>
      <c r="P50" s="16"/>
      <c r="Q50" s="46" t="str">
        <f aca="true">IF(A50&amp;H50="","",TRIM(IF(AND(A50&lt;&gt;"",A50&lt;TODAY(),O50&lt;&gt;"Published",O50&lt;&gt;"Repurpose"),"⚠ Overdue ","")&amp;IF(AND(J50&lt;&gt;"",D50&lt;&gt;"",IFERROR(J50&gt;INDEX(Setup!$E$9:$E$18,MATCH(D50,Setup!$B$9:$B$18,0)),FALSE())),"✂ Caption too long ","")&amp;IF(AND(M50&lt;&gt;"",D50&lt;&gt;"",IFERROR(M50&gt;INDEX(Setup!$F$9:$F$18,MATCH(D50,Setup!$B$9:$B$18,0)),FALSE())),"# Too many tags","")))</f>
        <v/>
      </c>
      <c r="R50" s="16"/>
      <c r="S50" s="19"/>
      <c r="T50" s="19"/>
      <c r="U50" s="19"/>
      <c r="V50" s="19"/>
      <c r="W50" s="19"/>
      <c r="X50" s="19"/>
      <c r="Y50" s="19"/>
      <c r="Z50" s="47" t="str">
        <f aca="false">IF(COUNT(U50:X50)=0,"",SUM(U50:X50))</f>
        <v/>
      </c>
      <c r="AA50" s="48" t="str">
        <f aca="false">IF(OR(Z50="",N(T50)=0),"",Z50/T50)</f>
        <v/>
      </c>
      <c r="AB50" s="45"/>
      <c r="AC50" s="51" t="str">
        <f aca="false">IF(A50="","",A50+N(C50)+ROW()/10^7)</f>
        <v/>
      </c>
      <c r="AD50" s="51" t="str">
        <f aca="false">IF(A50="","",TEXT(A50,"0")&amp;"|"&amp;COUNTIFS('Content Log'!$A$5:$A$504,A50,'Content Log'!$AC$5:$AC$504,"&lt;="&amp;AC50))</f>
        <v/>
      </c>
      <c r="AE50" s="51" t="str">
        <f aca="false">IF(A50="","",IFERROR(INDEX(Setup!$N$9:$N$14,MATCH(O50,Setup!$M$9:$M$14,0))&amp;" ","")&amp;IF(C50="","",TEXT(C50,"h:mm AM/PM")&amp;" ")&amp;D50&amp;IF(H50="",""," · "&amp;H50))</f>
        <v/>
      </c>
      <c r="AF50" s="51" t="str">
        <f aca="false">IF(OR(A50="",AA50=""),"",IF(AND(A50&gt;=Dashboard!$G$4,A50&lt;=Dashboard!$I$4),AA50+ROW()/10^9,""))</f>
        <v/>
      </c>
      <c r="AG50" s="51" t="str">
        <f aca="false">IF(A50="","",WEEKDAY(A50,2))</f>
        <v/>
      </c>
    </row>
    <row r="51" customFormat="false" ht="15" hidden="false" customHeight="false" outlineLevel="0" collapsed="false">
      <c r="A51" s="43"/>
      <c r="B51" s="11" t="str">
        <f aca="false">IF(A51="","",TEXT(A51,"ddd"))</f>
        <v/>
      </c>
      <c r="C51" s="44"/>
      <c r="D51" s="16"/>
      <c r="E51" s="16"/>
      <c r="F51" s="16"/>
      <c r="G51" s="16"/>
      <c r="H51" s="45"/>
      <c r="I51" s="45"/>
      <c r="J51" s="11" t="str">
        <f aca="false">IF(I51="","",LEN(I51))</f>
        <v/>
      </c>
      <c r="K51" s="16"/>
      <c r="L51" s="16"/>
      <c r="M51" s="11" t="str">
        <f aca="false">IF(L51="","",IFERROR(INDEX('Hashtag Bank'!$E$5:$E$104,MATCH(L51,'Hashtag Bank'!$B$5:$B$104,0)),""))</f>
        <v/>
      </c>
      <c r="N51" s="16"/>
      <c r="O51" s="16"/>
      <c r="P51" s="16"/>
      <c r="Q51" s="46" t="str">
        <f aca="true">IF(A51&amp;H51="","",TRIM(IF(AND(A51&lt;&gt;"",A51&lt;TODAY(),O51&lt;&gt;"Published",O51&lt;&gt;"Repurpose"),"⚠ Overdue ","")&amp;IF(AND(J51&lt;&gt;"",D51&lt;&gt;"",IFERROR(J51&gt;INDEX(Setup!$E$9:$E$18,MATCH(D51,Setup!$B$9:$B$18,0)),FALSE())),"✂ Caption too long ","")&amp;IF(AND(M51&lt;&gt;"",D51&lt;&gt;"",IFERROR(M51&gt;INDEX(Setup!$F$9:$F$18,MATCH(D51,Setup!$B$9:$B$18,0)),FALSE())),"# Too many tags","")))</f>
        <v/>
      </c>
      <c r="R51" s="16"/>
      <c r="S51" s="19"/>
      <c r="T51" s="19"/>
      <c r="U51" s="19"/>
      <c r="V51" s="19"/>
      <c r="W51" s="19"/>
      <c r="X51" s="19"/>
      <c r="Y51" s="19"/>
      <c r="Z51" s="47" t="str">
        <f aca="false">IF(COUNT(U51:X51)=0,"",SUM(U51:X51))</f>
        <v/>
      </c>
      <c r="AA51" s="48" t="str">
        <f aca="false">IF(OR(Z51="",N(T51)=0),"",Z51/T51)</f>
        <v/>
      </c>
      <c r="AB51" s="45"/>
      <c r="AC51" s="51" t="str">
        <f aca="false">IF(A51="","",A51+N(C51)+ROW()/10^7)</f>
        <v/>
      </c>
      <c r="AD51" s="51" t="str">
        <f aca="false">IF(A51="","",TEXT(A51,"0")&amp;"|"&amp;COUNTIFS('Content Log'!$A$5:$A$504,A51,'Content Log'!$AC$5:$AC$504,"&lt;="&amp;AC51))</f>
        <v/>
      </c>
      <c r="AE51" s="51" t="str">
        <f aca="false">IF(A51="","",IFERROR(INDEX(Setup!$N$9:$N$14,MATCH(O51,Setup!$M$9:$M$14,0))&amp;" ","")&amp;IF(C51="","",TEXT(C51,"h:mm AM/PM")&amp;" ")&amp;D51&amp;IF(H51="",""," · "&amp;H51))</f>
        <v/>
      </c>
      <c r="AF51" s="51" t="str">
        <f aca="false">IF(OR(A51="",AA51=""),"",IF(AND(A51&gt;=Dashboard!$G$4,A51&lt;=Dashboard!$I$4),AA51+ROW()/10^9,""))</f>
        <v/>
      </c>
      <c r="AG51" s="51" t="str">
        <f aca="false">IF(A51="","",WEEKDAY(A51,2))</f>
        <v/>
      </c>
    </row>
    <row r="52" customFormat="false" ht="15" hidden="false" customHeight="false" outlineLevel="0" collapsed="false">
      <c r="A52" s="43"/>
      <c r="B52" s="11" t="str">
        <f aca="false">IF(A52="","",TEXT(A52,"ddd"))</f>
        <v/>
      </c>
      <c r="C52" s="44"/>
      <c r="D52" s="16"/>
      <c r="E52" s="16"/>
      <c r="F52" s="16"/>
      <c r="G52" s="16"/>
      <c r="H52" s="45"/>
      <c r="I52" s="45"/>
      <c r="J52" s="11" t="str">
        <f aca="false">IF(I52="","",LEN(I52))</f>
        <v/>
      </c>
      <c r="K52" s="16"/>
      <c r="L52" s="16"/>
      <c r="M52" s="11" t="str">
        <f aca="false">IF(L52="","",IFERROR(INDEX('Hashtag Bank'!$E$5:$E$104,MATCH(L52,'Hashtag Bank'!$B$5:$B$104,0)),""))</f>
        <v/>
      </c>
      <c r="N52" s="16"/>
      <c r="O52" s="16"/>
      <c r="P52" s="16"/>
      <c r="Q52" s="46" t="str">
        <f aca="true">IF(A52&amp;H52="","",TRIM(IF(AND(A52&lt;&gt;"",A52&lt;TODAY(),O52&lt;&gt;"Published",O52&lt;&gt;"Repurpose"),"⚠ Overdue ","")&amp;IF(AND(J52&lt;&gt;"",D52&lt;&gt;"",IFERROR(J52&gt;INDEX(Setup!$E$9:$E$18,MATCH(D52,Setup!$B$9:$B$18,0)),FALSE())),"✂ Caption too long ","")&amp;IF(AND(M52&lt;&gt;"",D52&lt;&gt;"",IFERROR(M52&gt;INDEX(Setup!$F$9:$F$18,MATCH(D52,Setup!$B$9:$B$18,0)),FALSE())),"# Too many tags","")))</f>
        <v/>
      </c>
      <c r="R52" s="16"/>
      <c r="S52" s="19"/>
      <c r="T52" s="19"/>
      <c r="U52" s="19"/>
      <c r="V52" s="19"/>
      <c r="W52" s="19"/>
      <c r="X52" s="19"/>
      <c r="Y52" s="19"/>
      <c r="Z52" s="47" t="str">
        <f aca="false">IF(COUNT(U52:X52)=0,"",SUM(U52:X52))</f>
        <v/>
      </c>
      <c r="AA52" s="48" t="str">
        <f aca="false">IF(OR(Z52="",N(T52)=0),"",Z52/T52)</f>
        <v/>
      </c>
      <c r="AB52" s="45"/>
      <c r="AC52" s="51" t="str">
        <f aca="false">IF(A52="","",A52+N(C52)+ROW()/10^7)</f>
        <v/>
      </c>
      <c r="AD52" s="51" t="str">
        <f aca="false">IF(A52="","",TEXT(A52,"0")&amp;"|"&amp;COUNTIFS('Content Log'!$A$5:$A$504,A52,'Content Log'!$AC$5:$AC$504,"&lt;="&amp;AC52))</f>
        <v/>
      </c>
      <c r="AE52" s="51" t="str">
        <f aca="false">IF(A52="","",IFERROR(INDEX(Setup!$N$9:$N$14,MATCH(O52,Setup!$M$9:$M$14,0))&amp;" ","")&amp;IF(C52="","",TEXT(C52,"h:mm AM/PM")&amp;" ")&amp;D52&amp;IF(H52="",""," · "&amp;H52))</f>
        <v/>
      </c>
      <c r="AF52" s="51" t="str">
        <f aca="false">IF(OR(A52="",AA52=""),"",IF(AND(A52&gt;=Dashboard!$G$4,A52&lt;=Dashboard!$I$4),AA52+ROW()/10^9,""))</f>
        <v/>
      </c>
      <c r="AG52" s="51" t="str">
        <f aca="false">IF(A52="","",WEEKDAY(A52,2))</f>
        <v/>
      </c>
    </row>
    <row r="53" customFormat="false" ht="15" hidden="false" customHeight="false" outlineLevel="0" collapsed="false">
      <c r="A53" s="43"/>
      <c r="B53" s="11" t="str">
        <f aca="false">IF(A53="","",TEXT(A53,"ddd"))</f>
        <v/>
      </c>
      <c r="C53" s="44"/>
      <c r="D53" s="16"/>
      <c r="E53" s="16"/>
      <c r="F53" s="16"/>
      <c r="G53" s="16"/>
      <c r="H53" s="45"/>
      <c r="I53" s="45"/>
      <c r="J53" s="11" t="str">
        <f aca="false">IF(I53="","",LEN(I53))</f>
        <v/>
      </c>
      <c r="K53" s="16"/>
      <c r="L53" s="16"/>
      <c r="M53" s="11" t="str">
        <f aca="false">IF(L53="","",IFERROR(INDEX('Hashtag Bank'!$E$5:$E$104,MATCH(L53,'Hashtag Bank'!$B$5:$B$104,0)),""))</f>
        <v/>
      </c>
      <c r="N53" s="16"/>
      <c r="O53" s="16"/>
      <c r="P53" s="16"/>
      <c r="Q53" s="46" t="str">
        <f aca="true">IF(A53&amp;H53="","",TRIM(IF(AND(A53&lt;&gt;"",A53&lt;TODAY(),O53&lt;&gt;"Published",O53&lt;&gt;"Repurpose"),"⚠ Overdue ","")&amp;IF(AND(J53&lt;&gt;"",D53&lt;&gt;"",IFERROR(J53&gt;INDEX(Setup!$E$9:$E$18,MATCH(D53,Setup!$B$9:$B$18,0)),FALSE())),"✂ Caption too long ","")&amp;IF(AND(M53&lt;&gt;"",D53&lt;&gt;"",IFERROR(M53&gt;INDEX(Setup!$F$9:$F$18,MATCH(D53,Setup!$B$9:$B$18,0)),FALSE())),"# Too many tags","")))</f>
        <v/>
      </c>
      <c r="R53" s="16"/>
      <c r="S53" s="19"/>
      <c r="T53" s="19"/>
      <c r="U53" s="19"/>
      <c r="V53" s="19"/>
      <c r="W53" s="19"/>
      <c r="X53" s="19"/>
      <c r="Y53" s="19"/>
      <c r="Z53" s="47" t="str">
        <f aca="false">IF(COUNT(U53:X53)=0,"",SUM(U53:X53))</f>
        <v/>
      </c>
      <c r="AA53" s="48" t="str">
        <f aca="false">IF(OR(Z53="",N(T53)=0),"",Z53/T53)</f>
        <v/>
      </c>
      <c r="AB53" s="45"/>
      <c r="AC53" s="51" t="str">
        <f aca="false">IF(A53="","",A53+N(C53)+ROW()/10^7)</f>
        <v/>
      </c>
      <c r="AD53" s="51" t="str">
        <f aca="false">IF(A53="","",TEXT(A53,"0")&amp;"|"&amp;COUNTIFS('Content Log'!$A$5:$A$504,A53,'Content Log'!$AC$5:$AC$504,"&lt;="&amp;AC53))</f>
        <v/>
      </c>
      <c r="AE53" s="51" t="str">
        <f aca="false">IF(A53="","",IFERROR(INDEX(Setup!$N$9:$N$14,MATCH(O53,Setup!$M$9:$M$14,0))&amp;" ","")&amp;IF(C53="","",TEXT(C53,"h:mm AM/PM")&amp;" ")&amp;D53&amp;IF(H53="",""," · "&amp;H53))</f>
        <v/>
      </c>
      <c r="AF53" s="51" t="str">
        <f aca="false">IF(OR(A53="",AA53=""),"",IF(AND(A53&gt;=Dashboard!$G$4,A53&lt;=Dashboard!$I$4),AA53+ROW()/10^9,""))</f>
        <v/>
      </c>
      <c r="AG53" s="51" t="str">
        <f aca="false">IF(A53="","",WEEKDAY(A53,2))</f>
        <v/>
      </c>
    </row>
    <row r="54" customFormat="false" ht="15" hidden="false" customHeight="false" outlineLevel="0" collapsed="false">
      <c r="A54" s="43"/>
      <c r="B54" s="11" t="str">
        <f aca="false">IF(A54="","",TEXT(A54,"ddd"))</f>
        <v/>
      </c>
      <c r="C54" s="44"/>
      <c r="D54" s="16"/>
      <c r="E54" s="16"/>
      <c r="F54" s="16"/>
      <c r="G54" s="16"/>
      <c r="H54" s="45"/>
      <c r="I54" s="45"/>
      <c r="J54" s="11" t="str">
        <f aca="false">IF(I54="","",LEN(I54))</f>
        <v/>
      </c>
      <c r="K54" s="16"/>
      <c r="L54" s="16"/>
      <c r="M54" s="11" t="str">
        <f aca="false">IF(L54="","",IFERROR(INDEX('Hashtag Bank'!$E$5:$E$104,MATCH(L54,'Hashtag Bank'!$B$5:$B$104,0)),""))</f>
        <v/>
      </c>
      <c r="N54" s="16"/>
      <c r="O54" s="16"/>
      <c r="P54" s="16"/>
      <c r="Q54" s="46" t="str">
        <f aca="true">IF(A54&amp;H54="","",TRIM(IF(AND(A54&lt;&gt;"",A54&lt;TODAY(),O54&lt;&gt;"Published",O54&lt;&gt;"Repurpose"),"⚠ Overdue ","")&amp;IF(AND(J54&lt;&gt;"",D54&lt;&gt;"",IFERROR(J54&gt;INDEX(Setup!$E$9:$E$18,MATCH(D54,Setup!$B$9:$B$18,0)),FALSE())),"✂ Caption too long ","")&amp;IF(AND(M54&lt;&gt;"",D54&lt;&gt;"",IFERROR(M54&gt;INDEX(Setup!$F$9:$F$18,MATCH(D54,Setup!$B$9:$B$18,0)),FALSE())),"# Too many tags","")))</f>
        <v/>
      </c>
      <c r="R54" s="16"/>
      <c r="S54" s="19"/>
      <c r="T54" s="19"/>
      <c r="U54" s="19"/>
      <c r="V54" s="19"/>
      <c r="W54" s="19"/>
      <c r="X54" s="19"/>
      <c r="Y54" s="19"/>
      <c r="Z54" s="47" t="str">
        <f aca="false">IF(COUNT(U54:X54)=0,"",SUM(U54:X54))</f>
        <v/>
      </c>
      <c r="AA54" s="48" t="str">
        <f aca="false">IF(OR(Z54="",N(T54)=0),"",Z54/T54)</f>
        <v/>
      </c>
      <c r="AB54" s="45"/>
      <c r="AC54" s="51" t="str">
        <f aca="false">IF(A54="","",A54+N(C54)+ROW()/10^7)</f>
        <v/>
      </c>
      <c r="AD54" s="51" t="str">
        <f aca="false">IF(A54="","",TEXT(A54,"0")&amp;"|"&amp;COUNTIFS('Content Log'!$A$5:$A$504,A54,'Content Log'!$AC$5:$AC$504,"&lt;="&amp;AC54))</f>
        <v/>
      </c>
      <c r="AE54" s="51" t="str">
        <f aca="false">IF(A54="","",IFERROR(INDEX(Setup!$N$9:$N$14,MATCH(O54,Setup!$M$9:$M$14,0))&amp;" ","")&amp;IF(C54="","",TEXT(C54,"h:mm AM/PM")&amp;" ")&amp;D54&amp;IF(H54="",""," · "&amp;H54))</f>
        <v/>
      </c>
      <c r="AF54" s="51" t="str">
        <f aca="false">IF(OR(A54="",AA54=""),"",IF(AND(A54&gt;=Dashboard!$G$4,A54&lt;=Dashboard!$I$4),AA54+ROW()/10^9,""))</f>
        <v/>
      </c>
      <c r="AG54" s="51" t="str">
        <f aca="false">IF(A54="","",WEEKDAY(A54,2))</f>
        <v/>
      </c>
    </row>
    <row r="55" customFormat="false" ht="15" hidden="false" customHeight="false" outlineLevel="0" collapsed="false">
      <c r="A55" s="43"/>
      <c r="B55" s="11" t="str">
        <f aca="false">IF(A55="","",TEXT(A55,"ddd"))</f>
        <v/>
      </c>
      <c r="C55" s="44"/>
      <c r="D55" s="16"/>
      <c r="E55" s="16"/>
      <c r="F55" s="16"/>
      <c r="G55" s="16"/>
      <c r="H55" s="45"/>
      <c r="I55" s="45"/>
      <c r="J55" s="11" t="str">
        <f aca="false">IF(I55="","",LEN(I55))</f>
        <v/>
      </c>
      <c r="K55" s="16"/>
      <c r="L55" s="16"/>
      <c r="M55" s="11" t="str">
        <f aca="false">IF(L55="","",IFERROR(INDEX('Hashtag Bank'!$E$5:$E$104,MATCH(L55,'Hashtag Bank'!$B$5:$B$104,0)),""))</f>
        <v/>
      </c>
      <c r="N55" s="16"/>
      <c r="O55" s="16"/>
      <c r="P55" s="16"/>
      <c r="Q55" s="46" t="str">
        <f aca="true">IF(A55&amp;H55="","",TRIM(IF(AND(A55&lt;&gt;"",A55&lt;TODAY(),O55&lt;&gt;"Published",O55&lt;&gt;"Repurpose"),"⚠ Overdue ","")&amp;IF(AND(J55&lt;&gt;"",D55&lt;&gt;"",IFERROR(J55&gt;INDEX(Setup!$E$9:$E$18,MATCH(D55,Setup!$B$9:$B$18,0)),FALSE())),"✂ Caption too long ","")&amp;IF(AND(M55&lt;&gt;"",D55&lt;&gt;"",IFERROR(M55&gt;INDEX(Setup!$F$9:$F$18,MATCH(D55,Setup!$B$9:$B$18,0)),FALSE())),"# Too many tags","")))</f>
        <v/>
      </c>
      <c r="R55" s="16"/>
      <c r="S55" s="19"/>
      <c r="T55" s="19"/>
      <c r="U55" s="19"/>
      <c r="V55" s="19"/>
      <c r="W55" s="19"/>
      <c r="X55" s="19"/>
      <c r="Y55" s="19"/>
      <c r="Z55" s="47" t="str">
        <f aca="false">IF(COUNT(U55:X55)=0,"",SUM(U55:X55))</f>
        <v/>
      </c>
      <c r="AA55" s="48" t="str">
        <f aca="false">IF(OR(Z55="",N(T55)=0),"",Z55/T55)</f>
        <v/>
      </c>
      <c r="AB55" s="45"/>
      <c r="AC55" s="51" t="str">
        <f aca="false">IF(A55="","",A55+N(C55)+ROW()/10^7)</f>
        <v/>
      </c>
      <c r="AD55" s="51" t="str">
        <f aca="false">IF(A55="","",TEXT(A55,"0")&amp;"|"&amp;COUNTIFS('Content Log'!$A$5:$A$504,A55,'Content Log'!$AC$5:$AC$504,"&lt;="&amp;AC55))</f>
        <v/>
      </c>
      <c r="AE55" s="51" t="str">
        <f aca="false">IF(A55="","",IFERROR(INDEX(Setup!$N$9:$N$14,MATCH(O55,Setup!$M$9:$M$14,0))&amp;" ","")&amp;IF(C55="","",TEXT(C55,"h:mm AM/PM")&amp;" ")&amp;D55&amp;IF(H55="",""," · "&amp;H55))</f>
        <v/>
      </c>
      <c r="AF55" s="51" t="str">
        <f aca="false">IF(OR(A55="",AA55=""),"",IF(AND(A55&gt;=Dashboard!$G$4,A55&lt;=Dashboard!$I$4),AA55+ROW()/10^9,""))</f>
        <v/>
      </c>
      <c r="AG55" s="51" t="str">
        <f aca="false">IF(A55="","",WEEKDAY(A55,2))</f>
        <v/>
      </c>
    </row>
    <row r="56" customFormat="false" ht="15" hidden="false" customHeight="false" outlineLevel="0" collapsed="false">
      <c r="A56" s="43"/>
      <c r="B56" s="11" t="str">
        <f aca="false">IF(A56="","",TEXT(A56,"ddd"))</f>
        <v/>
      </c>
      <c r="C56" s="44"/>
      <c r="D56" s="16"/>
      <c r="E56" s="16"/>
      <c r="F56" s="16"/>
      <c r="G56" s="16"/>
      <c r="H56" s="45"/>
      <c r="I56" s="45"/>
      <c r="J56" s="11" t="str">
        <f aca="false">IF(I56="","",LEN(I56))</f>
        <v/>
      </c>
      <c r="K56" s="16"/>
      <c r="L56" s="16"/>
      <c r="M56" s="11" t="str">
        <f aca="false">IF(L56="","",IFERROR(INDEX('Hashtag Bank'!$E$5:$E$104,MATCH(L56,'Hashtag Bank'!$B$5:$B$104,0)),""))</f>
        <v/>
      </c>
      <c r="N56" s="16"/>
      <c r="O56" s="16"/>
      <c r="P56" s="16"/>
      <c r="Q56" s="46" t="str">
        <f aca="true">IF(A56&amp;H56="","",TRIM(IF(AND(A56&lt;&gt;"",A56&lt;TODAY(),O56&lt;&gt;"Published",O56&lt;&gt;"Repurpose"),"⚠ Overdue ","")&amp;IF(AND(J56&lt;&gt;"",D56&lt;&gt;"",IFERROR(J56&gt;INDEX(Setup!$E$9:$E$18,MATCH(D56,Setup!$B$9:$B$18,0)),FALSE())),"✂ Caption too long ","")&amp;IF(AND(M56&lt;&gt;"",D56&lt;&gt;"",IFERROR(M56&gt;INDEX(Setup!$F$9:$F$18,MATCH(D56,Setup!$B$9:$B$18,0)),FALSE())),"# Too many tags","")))</f>
        <v/>
      </c>
      <c r="R56" s="16"/>
      <c r="S56" s="19"/>
      <c r="T56" s="19"/>
      <c r="U56" s="19"/>
      <c r="V56" s="19"/>
      <c r="W56" s="19"/>
      <c r="X56" s="19"/>
      <c r="Y56" s="19"/>
      <c r="Z56" s="47" t="str">
        <f aca="false">IF(COUNT(U56:X56)=0,"",SUM(U56:X56))</f>
        <v/>
      </c>
      <c r="AA56" s="48" t="str">
        <f aca="false">IF(OR(Z56="",N(T56)=0),"",Z56/T56)</f>
        <v/>
      </c>
      <c r="AB56" s="45"/>
      <c r="AC56" s="51" t="str">
        <f aca="false">IF(A56="","",A56+N(C56)+ROW()/10^7)</f>
        <v/>
      </c>
      <c r="AD56" s="51" t="str">
        <f aca="false">IF(A56="","",TEXT(A56,"0")&amp;"|"&amp;COUNTIFS('Content Log'!$A$5:$A$504,A56,'Content Log'!$AC$5:$AC$504,"&lt;="&amp;AC56))</f>
        <v/>
      </c>
      <c r="AE56" s="51" t="str">
        <f aca="false">IF(A56="","",IFERROR(INDEX(Setup!$N$9:$N$14,MATCH(O56,Setup!$M$9:$M$14,0))&amp;" ","")&amp;IF(C56="","",TEXT(C56,"h:mm AM/PM")&amp;" ")&amp;D56&amp;IF(H56="",""," · "&amp;H56))</f>
        <v/>
      </c>
      <c r="AF56" s="51" t="str">
        <f aca="false">IF(OR(A56="",AA56=""),"",IF(AND(A56&gt;=Dashboard!$G$4,A56&lt;=Dashboard!$I$4),AA56+ROW()/10^9,""))</f>
        <v/>
      </c>
      <c r="AG56" s="51" t="str">
        <f aca="false">IF(A56="","",WEEKDAY(A56,2))</f>
        <v/>
      </c>
    </row>
    <row r="57" customFormat="false" ht="15" hidden="false" customHeight="false" outlineLevel="0" collapsed="false">
      <c r="A57" s="43"/>
      <c r="B57" s="11" t="str">
        <f aca="false">IF(A57="","",TEXT(A57,"ddd"))</f>
        <v/>
      </c>
      <c r="C57" s="44"/>
      <c r="D57" s="16"/>
      <c r="E57" s="16"/>
      <c r="F57" s="16"/>
      <c r="G57" s="16"/>
      <c r="H57" s="45"/>
      <c r="I57" s="45"/>
      <c r="J57" s="11" t="str">
        <f aca="false">IF(I57="","",LEN(I57))</f>
        <v/>
      </c>
      <c r="K57" s="16"/>
      <c r="L57" s="16"/>
      <c r="M57" s="11" t="str">
        <f aca="false">IF(L57="","",IFERROR(INDEX('Hashtag Bank'!$E$5:$E$104,MATCH(L57,'Hashtag Bank'!$B$5:$B$104,0)),""))</f>
        <v/>
      </c>
      <c r="N57" s="16"/>
      <c r="O57" s="16"/>
      <c r="P57" s="16"/>
      <c r="Q57" s="46" t="str">
        <f aca="true">IF(A57&amp;H57="","",TRIM(IF(AND(A57&lt;&gt;"",A57&lt;TODAY(),O57&lt;&gt;"Published",O57&lt;&gt;"Repurpose"),"⚠ Overdue ","")&amp;IF(AND(J57&lt;&gt;"",D57&lt;&gt;"",IFERROR(J57&gt;INDEX(Setup!$E$9:$E$18,MATCH(D57,Setup!$B$9:$B$18,0)),FALSE())),"✂ Caption too long ","")&amp;IF(AND(M57&lt;&gt;"",D57&lt;&gt;"",IFERROR(M57&gt;INDEX(Setup!$F$9:$F$18,MATCH(D57,Setup!$B$9:$B$18,0)),FALSE())),"# Too many tags","")))</f>
        <v/>
      </c>
      <c r="R57" s="16"/>
      <c r="S57" s="19"/>
      <c r="T57" s="19"/>
      <c r="U57" s="19"/>
      <c r="V57" s="19"/>
      <c r="W57" s="19"/>
      <c r="X57" s="19"/>
      <c r="Y57" s="19"/>
      <c r="Z57" s="47" t="str">
        <f aca="false">IF(COUNT(U57:X57)=0,"",SUM(U57:X57))</f>
        <v/>
      </c>
      <c r="AA57" s="48" t="str">
        <f aca="false">IF(OR(Z57="",N(T57)=0),"",Z57/T57)</f>
        <v/>
      </c>
      <c r="AB57" s="45"/>
      <c r="AC57" s="51" t="str">
        <f aca="false">IF(A57="","",A57+N(C57)+ROW()/10^7)</f>
        <v/>
      </c>
      <c r="AD57" s="51" t="str">
        <f aca="false">IF(A57="","",TEXT(A57,"0")&amp;"|"&amp;COUNTIFS('Content Log'!$A$5:$A$504,A57,'Content Log'!$AC$5:$AC$504,"&lt;="&amp;AC57))</f>
        <v/>
      </c>
      <c r="AE57" s="51" t="str">
        <f aca="false">IF(A57="","",IFERROR(INDEX(Setup!$N$9:$N$14,MATCH(O57,Setup!$M$9:$M$14,0))&amp;" ","")&amp;IF(C57="","",TEXT(C57,"h:mm AM/PM")&amp;" ")&amp;D57&amp;IF(H57="",""," · "&amp;H57))</f>
        <v/>
      </c>
      <c r="AF57" s="51" t="str">
        <f aca="false">IF(OR(A57="",AA57=""),"",IF(AND(A57&gt;=Dashboard!$G$4,A57&lt;=Dashboard!$I$4),AA57+ROW()/10^9,""))</f>
        <v/>
      </c>
      <c r="AG57" s="51" t="str">
        <f aca="false">IF(A57="","",WEEKDAY(A57,2))</f>
        <v/>
      </c>
    </row>
    <row r="58" customFormat="false" ht="15" hidden="false" customHeight="false" outlineLevel="0" collapsed="false">
      <c r="A58" s="43"/>
      <c r="B58" s="11" t="str">
        <f aca="false">IF(A58="","",TEXT(A58,"ddd"))</f>
        <v/>
      </c>
      <c r="C58" s="44"/>
      <c r="D58" s="16"/>
      <c r="E58" s="16"/>
      <c r="F58" s="16"/>
      <c r="G58" s="16"/>
      <c r="H58" s="45"/>
      <c r="I58" s="45"/>
      <c r="J58" s="11" t="str">
        <f aca="false">IF(I58="","",LEN(I58))</f>
        <v/>
      </c>
      <c r="K58" s="16"/>
      <c r="L58" s="16"/>
      <c r="M58" s="11" t="str">
        <f aca="false">IF(L58="","",IFERROR(INDEX('Hashtag Bank'!$E$5:$E$104,MATCH(L58,'Hashtag Bank'!$B$5:$B$104,0)),""))</f>
        <v/>
      </c>
      <c r="N58" s="16"/>
      <c r="O58" s="16"/>
      <c r="P58" s="16"/>
      <c r="Q58" s="46" t="str">
        <f aca="true">IF(A58&amp;H58="","",TRIM(IF(AND(A58&lt;&gt;"",A58&lt;TODAY(),O58&lt;&gt;"Published",O58&lt;&gt;"Repurpose"),"⚠ Overdue ","")&amp;IF(AND(J58&lt;&gt;"",D58&lt;&gt;"",IFERROR(J58&gt;INDEX(Setup!$E$9:$E$18,MATCH(D58,Setup!$B$9:$B$18,0)),FALSE())),"✂ Caption too long ","")&amp;IF(AND(M58&lt;&gt;"",D58&lt;&gt;"",IFERROR(M58&gt;INDEX(Setup!$F$9:$F$18,MATCH(D58,Setup!$B$9:$B$18,0)),FALSE())),"# Too many tags","")))</f>
        <v/>
      </c>
      <c r="R58" s="16"/>
      <c r="S58" s="19"/>
      <c r="T58" s="19"/>
      <c r="U58" s="19"/>
      <c r="V58" s="19"/>
      <c r="W58" s="19"/>
      <c r="X58" s="19"/>
      <c r="Y58" s="19"/>
      <c r="Z58" s="47" t="str">
        <f aca="false">IF(COUNT(U58:X58)=0,"",SUM(U58:X58))</f>
        <v/>
      </c>
      <c r="AA58" s="48" t="str">
        <f aca="false">IF(OR(Z58="",N(T58)=0),"",Z58/T58)</f>
        <v/>
      </c>
      <c r="AB58" s="45"/>
      <c r="AC58" s="51" t="str">
        <f aca="false">IF(A58="","",A58+N(C58)+ROW()/10^7)</f>
        <v/>
      </c>
      <c r="AD58" s="51" t="str">
        <f aca="false">IF(A58="","",TEXT(A58,"0")&amp;"|"&amp;COUNTIFS('Content Log'!$A$5:$A$504,A58,'Content Log'!$AC$5:$AC$504,"&lt;="&amp;AC58))</f>
        <v/>
      </c>
      <c r="AE58" s="51" t="str">
        <f aca="false">IF(A58="","",IFERROR(INDEX(Setup!$N$9:$N$14,MATCH(O58,Setup!$M$9:$M$14,0))&amp;" ","")&amp;IF(C58="","",TEXT(C58,"h:mm AM/PM")&amp;" ")&amp;D58&amp;IF(H58="",""," · "&amp;H58))</f>
        <v/>
      </c>
      <c r="AF58" s="51" t="str">
        <f aca="false">IF(OR(A58="",AA58=""),"",IF(AND(A58&gt;=Dashboard!$G$4,A58&lt;=Dashboard!$I$4),AA58+ROW()/10^9,""))</f>
        <v/>
      </c>
      <c r="AG58" s="51" t="str">
        <f aca="false">IF(A58="","",WEEKDAY(A58,2))</f>
        <v/>
      </c>
    </row>
    <row r="59" customFormat="false" ht="15" hidden="false" customHeight="false" outlineLevel="0" collapsed="false">
      <c r="A59" s="43"/>
      <c r="B59" s="11" t="str">
        <f aca="false">IF(A59="","",TEXT(A59,"ddd"))</f>
        <v/>
      </c>
      <c r="C59" s="44"/>
      <c r="D59" s="16"/>
      <c r="E59" s="16"/>
      <c r="F59" s="16"/>
      <c r="G59" s="16"/>
      <c r="H59" s="45"/>
      <c r="I59" s="45"/>
      <c r="J59" s="11" t="str">
        <f aca="false">IF(I59="","",LEN(I59))</f>
        <v/>
      </c>
      <c r="K59" s="16"/>
      <c r="L59" s="16"/>
      <c r="M59" s="11" t="str">
        <f aca="false">IF(L59="","",IFERROR(INDEX('Hashtag Bank'!$E$5:$E$104,MATCH(L59,'Hashtag Bank'!$B$5:$B$104,0)),""))</f>
        <v/>
      </c>
      <c r="N59" s="16"/>
      <c r="O59" s="16"/>
      <c r="P59" s="16"/>
      <c r="Q59" s="46" t="str">
        <f aca="true">IF(A59&amp;H59="","",TRIM(IF(AND(A59&lt;&gt;"",A59&lt;TODAY(),O59&lt;&gt;"Published",O59&lt;&gt;"Repurpose"),"⚠ Overdue ","")&amp;IF(AND(J59&lt;&gt;"",D59&lt;&gt;"",IFERROR(J59&gt;INDEX(Setup!$E$9:$E$18,MATCH(D59,Setup!$B$9:$B$18,0)),FALSE())),"✂ Caption too long ","")&amp;IF(AND(M59&lt;&gt;"",D59&lt;&gt;"",IFERROR(M59&gt;INDEX(Setup!$F$9:$F$18,MATCH(D59,Setup!$B$9:$B$18,0)),FALSE())),"# Too many tags","")))</f>
        <v/>
      </c>
      <c r="R59" s="16"/>
      <c r="S59" s="19"/>
      <c r="T59" s="19"/>
      <c r="U59" s="19"/>
      <c r="V59" s="19"/>
      <c r="W59" s="19"/>
      <c r="X59" s="19"/>
      <c r="Y59" s="19"/>
      <c r="Z59" s="47" t="str">
        <f aca="false">IF(COUNT(U59:X59)=0,"",SUM(U59:X59))</f>
        <v/>
      </c>
      <c r="AA59" s="48" t="str">
        <f aca="false">IF(OR(Z59="",N(T59)=0),"",Z59/T59)</f>
        <v/>
      </c>
      <c r="AB59" s="45"/>
      <c r="AC59" s="51" t="str">
        <f aca="false">IF(A59="","",A59+N(C59)+ROW()/10^7)</f>
        <v/>
      </c>
      <c r="AD59" s="51" t="str">
        <f aca="false">IF(A59="","",TEXT(A59,"0")&amp;"|"&amp;COUNTIFS('Content Log'!$A$5:$A$504,A59,'Content Log'!$AC$5:$AC$504,"&lt;="&amp;AC59))</f>
        <v/>
      </c>
      <c r="AE59" s="51" t="str">
        <f aca="false">IF(A59="","",IFERROR(INDEX(Setup!$N$9:$N$14,MATCH(O59,Setup!$M$9:$M$14,0))&amp;" ","")&amp;IF(C59="","",TEXT(C59,"h:mm AM/PM")&amp;" ")&amp;D59&amp;IF(H59="",""," · "&amp;H59))</f>
        <v/>
      </c>
      <c r="AF59" s="51" t="str">
        <f aca="false">IF(OR(A59="",AA59=""),"",IF(AND(A59&gt;=Dashboard!$G$4,A59&lt;=Dashboard!$I$4),AA59+ROW()/10^9,""))</f>
        <v/>
      </c>
      <c r="AG59" s="51" t="str">
        <f aca="false">IF(A59="","",WEEKDAY(A59,2))</f>
        <v/>
      </c>
    </row>
    <row r="60" customFormat="false" ht="15" hidden="false" customHeight="false" outlineLevel="0" collapsed="false">
      <c r="A60" s="43"/>
      <c r="B60" s="11" t="str">
        <f aca="false">IF(A60="","",TEXT(A60,"ddd"))</f>
        <v/>
      </c>
      <c r="C60" s="44"/>
      <c r="D60" s="16"/>
      <c r="E60" s="16"/>
      <c r="F60" s="16"/>
      <c r="G60" s="16"/>
      <c r="H60" s="45"/>
      <c r="I60" s="45"/>
      <c r="J60" s="11" t="str">
        <f aca="false">IF(I60="","",LEN(I60))</f>
        <v/>
      </c>
      <c r="K60" s="16"/>
      <c r="L60" s="16"/>
      <c r="M60" s="11" t="str">
        <f aca="false">IF(L60="","",IFERROR(INDEX('Hashtag Bank'!$E$5:$E$104,MATCH(L60,'Hashtag Bank'!$B$5:$B$104,0)),""))</f>
        <v/>
      </c>
      <c r="N60" s="16"/>
      <c r="O60" s="16"/>
      <c r="P60" s="16"/>
      <c r="Q60" s="46" t="str">
        <f aca="true">IF(A60&amp;H60="","",TRIM(IF(AND(A60&lt;&gt;"",A60&lt;TODAY(),O60&lt;&gt;"Published",O60&lt;&gt;"Repurpose"),"⚠ Overdue ","")&amp;IF(AND(J60&lt;&gt;"",D60&lt;&gt;"",IFERROR(J60&gt;INDEX(Setup!$E$9:$E$18,MATCH(D60,Setup!$B$9:$B$18,0)),FALSE())),"✂ Caption too long ","")&amp;IF(AND(M60&lt;&gt;"",D60&lt;&gt;"",IFERROR(M60&gt;INDEX(Setup!$F$9:$F$18,MATCH(D60,Setup!$B$9:$B$18,0)),FALSE())),"# Too many tags","")))</f>
        <v/>
      </c>
      <c r="R60" s="16"/>
      <c r="S60" s="19"/>
      <c r="T60" s="19"/>
      <c r="U60" s="19"/>
      <c r="V60" s="19"/>
      <c r="W60" s="19"/>
      <c r="X60" s="19"/>
      <c r="Y60" s="19"/>
      <c r="Z60" s="47" t="str">
        <f aca="false">IF(COUNT(U60:X60)=0,"",SUM(U60:X60))</f>
        <v/>
      </c>
      <c r="AA60" s="48" t="str">
        <f aca="false">IF(OR(Z60="",N(T60)=0),"",Z60/T60)</f>
        <v/>
      </c>
      <c r="AB60" s="45"/>
      <c r="AC60" s="51" t="str">
        <f aca="false">IF(A60="","",A60+N(C60)+ROW()/10^7)</f>
        <v/>
      </c>
      <c r="AD60" s="51" t="str">
        <f aca="false">IF(A60="","",TEXT(A60,"0")&amp;"|"&amp;COUNTIFS('Content Log'!$A$5:$A$504,A60,'Content Log'!$AC$5:$AC$504,"&lt;="&amp;AC60))</f>
        <v/>
      </c>
      <c r="AE60" s="51" t="str">
        <f aca="false">IF(A60="","",IFERROR(INDEX(Setup!$N$9:$N$14,MATCH(O60,Setup!$M$9:$M$14,0))&amp;" ","")&amp;IF(C60="","",TEXT(C60,"h:mm AM/PM")&amp;" ")&amp;D60&amp;IF(H60="",""," · "&amp;H60))</f>
        <v/>
      </c>
      <c r="AF60" s="51" t="str">
        <f aca="false">IF(OR(A60="",AA60=""),"",IF(AND(A60&gt;=Dashboard!$G$4,A60&lt;=Dashboard!$I$4),AA60+ROW()/10^9,""))</f>
        <v/>
      </c>
      <c r="AG60" s="51" t="str">
        <f aca="false">IF(A60="","",WEEKDAY(A60,2))</f>
        <v/>
      </c>
    </row>
    <row r="61" customFormat="false" ht="15" hidden="false" customHeight="false" outlineLevel="0" collapsed="false">
      <c r="A61" s="43"/>
      <c r="B61" s="11" t="str">
        <f aca="false">IF(A61="","",TEXT(A61,"ddd"))</f>
        <v/>
      </c>
      <c r="C61" s="44"/>
      <c r="D61" s="16"/>
      <c r="E61" s="16"/>
      <c r="F61" s="16"/>
      <c r="G61" s="16"/>
      <c r="H61" s="45"/>
      <c r="I61" s="45"/>
      <c r="J61" s="11" t="str">
        <f aca="false">IF(I61="","",LEN(I61))</f>
        <v/>
      </c>
      <c r="K61" s="16"/>
      <c r="L61" s="16"/>
      <c r="M61" s="11" t="str">
        <f aca="false">IF(L61="","",IFERROR(INDEX('Hashtag Bank'!$E$5:$E$104,MATCH(L61,'Hashtag Bank'!$B$5:$B$104,0)),""))</f>
        <v/>
      </c>
      <c r="N61" s="16"/>
      <c r="O61" s="16"/>
      <c r="P61" s="16"/>
      <c r="Q61" s="46" t="str">
        <f aca="true">IF(A61&amp;H61="","",TRIM(IF(AND(A61&lt;&gt;"",A61&lt;TODAY(),O61&lt;&gt;"Published",O61&lt;&gt;"Repurpose"),"⚠ Overdue ","")&amp;IF(AND(J61&lt;&gt;"",D61&lt;&gt;"",IFERROR(J61&gt;INDEX(Setup!$E$9:$E$18,MATCH(D61,Setup!$B$9:$B$18,0)),FALSE())),"✂ Caption too long ","")&amp;IF(AND(M61&lt;&gt;"",D61&lt;&gt;"",IFERROR(M61&gt;INDEX(Setup!$F$9:$F$18,MATCH(D61,Setup!$B$9:$B$18,0)),FALSE())),"# Too many tags","")))</f>
        <v/>
      </c>
      <c r="R61" s="16"/>
      <c r="S61" s="19"/>
      <c r="T61" s="19"/>
      <c r="U61" s="19"/>
      <c r="V61" s="19"/>
      <c r="W61" s="19"/>
      <c r="X61" s="19"/>
      <c r="Y61" s="19"/>
      <c r="Z61" s="47" t="str">
        <f aca="false">IF(COUNT(U61:X61)=0,"",SUM(U61:X61))</f>
        <v/>
      </c>
      <c r="AA61" s="48" t="str">
        <f aca="false">IF(OR(Z61="",N(T61)=0),"",Z61/T61)</f>
        <v/>
      </c>
      <c r="AB61" s="45"/>
      <c r="AC61" s="51" t="str">
        <f aca="false">IF(A61="","",A61+N(C61)+ROW()/10^7)</f>
        <v/>
      </c>
      <c r="AD61" s="51" t="str">
        <f aca="false">IF(A61="","",TEXT(A61,"0")&amp;"|"&amp;COUNTIFS('Content Log'!$A$5:$A$504,A61,'Content Log'!$AC$5:$AC$504,"&lt;="&amp;AC61))</f>
        <v/>
      </c>
      <c r="AE61" s="51" t="str">
        <f aca="false">IF(A61="","",IFERROR(INDEX(Setup!$N$9:$N$14,MATCH(O61,Setup!$M$9:$M$14,0))&amp;" ","")&amp;IF(C61="","",TEXT(C61,"h:mm AM/PM")&amp;" ")&amp;D61&amp;IF(H61="",""," · "&amp;H61))</f>
        <v/>
      </c>
      <c r="AF61" s="51" t="str">
        <f aca="false">IF(OR(A61="",AA61=""),"",IF(AND(A61&gt;=Dashboard!$G$4,A61&lt;=Dashboard!$I$4),AA61+ROW()/10^9,""))</f>
        <v/>
      </c>
      <c r="AG61" s="51" t="str">
        <f aca="false">IF(A61="","",WEEKDAY(A61,2))</f>
        <v/>
      </c>
    </row>
    <row r="62" customFormat="false" ht="15" hidden="false" customHeight="false" outlineLevel="0" collapsed="false">
      <c r="A62" s="43"/>
      <c r="B62" s="11" t="str">
        <f aca="false">IF(A62="","",TEXT(A62,"ddd"))</f>
        <v/>
      </c>
      <c r="C62" s="44"/>
      <c r="D62" s="16"/>
      <c r="E62" s="16"/>
      <c r="F62" s="16"/>
      <c r="G62" s="16"/>
      <c r="H62" s="45"/>
      <c r="I62" s="45"/>
      <c r="J62" s="11" t="str">
        <f aca="false">IF(I62="","",LEN(I62))</f>
        <v/>
      </c>
      <c r="K62" s="16"/>
      <c r="L62" s="16"/>
      <c r="M62" s="11" t="str">
        <f aca="false">IF(L62="","",IFERROR(INDEX('Hashtag Bank'!$E$5:$E$104,MATCH(L62,'Hashtag Bank'!$B$5:$B$104,0)),""))</f>
        <v/>
      </c>
      <c r="N62" s="16"/>
      <c r="O62" s="16"/>
      <c r="P62" s="16"/>
      <c r="Q62" s="46" t="str">
        <f aca="true">IF(A62&amp;H62="","",TRIM(IF(AND(A62&lt;&gt;"",A62&lt;TODAY(),O62&lt;&gt;"Published",O62&lt;&gt;"Repurpose"),"⚠ Overdue ","")&amp;IF(AND(J62&lt;&gt;"",D62&lt;&gt;"",IFERROR(J62&gt;INDEX(Setup!$E$9:$E$18,MATCH(D62,Setup!$B$9:$B$18,0)),FALSE())),"✂ Caption too long ","")&amp;IF(AND(M62&lt;&gt;"",D62&lt;&gt;"",IFERROR(M62&gt;INDEX(Setup!$F$9:$F$18,MATCH(D62,Setup!$B$9:$B$18,0)),FALSE())),"# Too many tags","")))</f>
        <v/>
      </c>
      <c r="R62" s="16"/>
      <c r="S62" s="19"/>
      <c r="T62" s="19"/>
      <c r="U62" s="19"/>
      <c r="V62" s="19"/>
      <c r="W62" s="19"/>
      <c r="X62" s="19"/>
      <c r="Y62" s="19"/>
      <c r="Z62" s="47" t="str">
        <f aca="false">IF(COUNT(U62:X62)=0,"",SUM(U62:X62))</f>
        <v/>
      </c>
      <c r="AA62" s="48" t="str">
        <f aca="false">IF(OR(Z62="",N(T62)=0),"",Z62/T62)</f>
        <v/>
      </c>
      <c r="AB62" s="45"/>
      <c r="AC62" s="51" t="str">
        <f aca="false">IF(A62="","",A62+N(C62)+ROW()/10^7)</f>
        <v/>
      </c>
      <c r="AD62" s="51" t="str">
        <f aca="false">IF(A62="","",TEXT(A62,"0")&amp;"|"&amp;COUNTIFS('Content Log'!$A$5:$A$504,A62,'Content Log'!$AC$5:$AC$504,"&lt;="&amp;AC62))</f>
        <v/>
      </c>
      <c r="AE62" s="51" t="str">
        <f aca="false">IF(A62="","",IFERROR(INDEX(Setup!$N$9:$N$14,MATCH(O62,Setup!$M$9:$M$14,0))&amp;" ","")&amp;IF(C62="","",TEXT(C62,"h:mm AM/PM")&amp;" ")&amp;D62&amp;IF(H62="",""," · "&amp;H62))</f>
        <v/>
      </c>
      <c r="AF62" s="51" t="str">
        <f aca="false">IF(OR(A62="",AA62=""),"",IF(AND(A62&gt;=Dashboard!$G$4,A62&lt;=Dashboard!$I$4),AA62+ROW()/10^9,""))</f>
        <v/>
      </c>
      <c r="AG62" s="51" t="str">
        <f aca="false">IF(A62="","",WEEKDAY(A62,2))</f>
        <v/>
      </c>
    </row>
    <row r="63" customFormat="false" ht="15" hidden="false" customHeight="false" outlineLevel="0" collapsed="false">
      <c r="A63" s="43"/>
      <c r="B63" s="11" t="str">
        <f aca="false">IF(A63="","",TEXT(A63,"ddd"))</f>
        <v/>
      </c>
      <c r="C63" s="44"/>
      <c r="D63" s="16"/>
      <c r="E63" s="16"/>
      <c r="F63" s="16"/>
      <c r="G63" s="16"/>
      <c r="H63" s="45"/>
      <c r="I63" s="45"/>
      <c r="J63" s="11" t="str">
        <f aca="false">IF(I63="","",LEN(I63))</f>
        <v/>
      </c>
      <c r="K63" s="16"/>
      <c r="L63" s="16"/>
      <c r="M63" s="11" t="str">
        <f aca="false">IF(L63="","",IFERROR(INDEX('Hashtag Bank'!$E$5:$E$104,MATCH(L63,'Hashtag Bank'!$B$5:$B$104,0)),""))</f>
        <v/>
      </c>
      <c r="N63" s="16"/>
      <c r="O63" s="16"/>
      <c r="P63" s="16"/>
      <c r="Q63" s="46" t="str">
        <f aca="true">IF(A63&amp;H63="","",TRIM(IF(AND(A63&lt;&gt;"",A63&lt;TODAY(),O63&lt;&gt;"Published",O63&lt;&gt;"Repurpose"),"⚠ Overdue ","")&amp;IF(AND(J63&lt;&gt;"",D63&lt;&gt;"",IFERROR(J63&gt;INDEX(Setup!$E$9:$E$18,MATCH(D63,Setup!$B$9:$B$18,0)),FALSE())),"✂ Caption too long ","")&amp;IF(AND(M63&lt;&gt;"",D63&lt;&gt;"",IFERROR(M63&gt;INDEX(Setup!$F$9:$F$18,MATCH(D63,Setup!$B$9:$B$18,0)),FALSE())),"# Too many tags","")))</f>
        <v/>
      </c>
      <c r="R63" s="16"/>
      <c r="S63" s="19"/>
      <c r="T63" s="19"/>
      <c r="U63" s="19"/>
      <c r="V63" s="19"/>
      <c r="W63" s="19"/>
      <c r="X63" s="19"/>
      <c r="Y63" s="19"/>
      <c r="Z63" s="47" t="str">
        <f aca="false">IF(COUNT(U63:X63)=0,"",SUM(U63:X63))</f>
        <v/>
      </c>
      <c r="AA63" s="48" t="str">
        <f aca="false">IF(OR(Z63="",N(T63)=0),"",Z63/T63)</f>
        <v/>
      </c>
      <c r="AB63" s="45"/>
      <c r="AC63" s="51" t="str">
        <f aca="false">IF(A63="","",A63+N(C63)+ROW()/10^7)</f>
        <v/>
      </c>
      <c r="AD63" s="51" t="str">
        <f aca="false">IF(A63="","",TEXT(A63,"0")&amp;"|"&amp;COUNTIFS('Content Log'!$A$5:$A$504,A63,'Content Log'!$AC$5:$AC$504,"&lt;="&amp;AC63))</f>
        <v/>
      </c>
      <c r="AE63" s="51" t="str">
        <f aca="false">IF(A63="","",IFERROR(INDEX(Setup!$N$9:$N$14,MATCH(O63,Setup!$M$9:$M$14,0))&amp;" ","")&amp;IF(C63="","",TEXT(C63,"h:mm AM/PM")&amp;" ")&amp;D63&amp;IF(H63="",""," · "&amp;H63))</f>
        <v/>
      </c>
      <c r="AF63" s="51" t="str">
        <f aca="false">IF(OR(A63="",AA63=""),"",IF(AND(A63&gt;=Dashboard!$G$4,A63&lt;=Dashboard!$I$4),AA63+ROW()/10^9,""))</f>
        <v/>
      </c>
      <c r="AG63" s="51" t="str">
        <f aca="false">IF(A63="","",WEEKDAY(A63,2))</f>
        <v/>
      </c>
    </row>
    <row r="64" customFormat="false" ht="15" hidden="false" customHeight="false" outlineLevel="0" collapsed="false">
      <c r="A64" s="43"/>
      <c r="B64" s="11" t="str">
        <f aca="false">IF(A64="","",TEXT(A64,"ddd"))</f>
        <v/>
      </c>
      <c r="C64" s="44"/>
      <c r="D64" s="16"/>
      <c r="E64" s="16"/>
      <c r="F64" s="16"/>
      <c r="G64" s="16"/>
      <c r="H64" s="45"/>
      <c r="I64" s="45"/>
      <c r="J64" s="11" t="str">
        <f aca="false">IF(I64="","",LEN(I64))</f>
        <v/>
      </c>
      <c r="K64" s="16"/>
      <c r="L64" s="16"/>
      <c r="M64" s="11" t="str">
        <f aca="false">IF(L64="","",IFERROR(INDEX('Hashtag Bank'!$E$5:$E$104,MATCH(L64,'Hashtag Bank'!$B$5:$B$104,0)),""))</f>
        <v/>
      </c>
      <c r="N64" s="16"/>
      <c r="O64" s="16"/>
      <c r="P64" s="16"/>
      <c r="Q64" s="46" t="str">
        <f aca="true">IF(A64&amp;H64="","",TRIM(IF(AND(A64&lt;&gt;"",A64&lt;TODAY(),O64&lt;&gt;"Published",O64&lt;&gt;"Repurpose"),"⚠ Overdue ","")&amp;IF(AND(J64&lt;&gt;"",D64&lt;&gt;"",IFERROR(J64&gt;INDEX(Setup!$E$9:$E$18,MATCH(D64,Setup!$B$9:$B$18,0)),FALSE())),"✂ Caption too long ","")&amp;IF(AND(M64&lt;&gt;"",D64&lt;&gt;"",IFERROR(M64&gt;INDEX(Setup!$F$9:$F$18,MATCH(D64,Setup!$B$9:$B$18,0)),FALSE())),"# Too many tags","")))</f>
        <v/>
      </c>
      <c r="R64" s="16"/>
      <c r="S64" s="19"/>
      <c r="T64" s="19"/>
      <c r="U64" s="19"/>
      <c r="V64" s="19"/>
      <c r="W64" s="19"/>
      <c r="X64" s="19"/>
      <c r="Y64" s="19"/>
      <c r="Z64" s="47" t="str">
        <f aca="false">IF(COUNT(U64:X64)=0,"",SUM(U64:X64))</f>
        <v/>
      </c>
      <c r="AA64" s="48" t="str">
        <f aca="false">IF(OR(Z64="",N(T64)=0),"",Z64/T64)</f>
        <v/>
      </c>
      <c r="AB64" s="45"/>
      <c r="AC64" s="51" t="str">
        <f aca="false">IF(A64="","",A64+N(C64)+ROW()/10^7)</f>
        <v/>
      </c>
      <c r="AD64" s="51" t="str">
        <f aca="false">IF(A64="","",TEXT(A64,"0")&amp;"|"&amp;COUNTIFS('Content Log'!$A$5:$A$504,A64,'Content Log'!$AC$5:$AC$504,"&lt;="&amp;AC64))</f>
        <v/>
      </c>
      <c r="AE64" s="51" t="str">
        <f aca="false">IF(A64="","",IFERROR(INDEX(Setup!$N$9:$N$14,MATCH(O64,Setup!$M$9:$M$14,0))&amp;" ","")&amp;IF(C64="","",TEXT(C64,"h:mm AM/PM")&amp;" ")&amp;D64&amp;IF(H64="",""," · "&amp;H64))</f>
        <v/>
      </c>
      <c r="AF64" s="51" t="str">
        <f aca="false">IF(OR(A64="",AA64=""),"",IF(AND(A64&gt;=Dashboard!$G$4,A64&lt;=Dashboard!$I$4),AA64+ROW()/10^9,""))</f>
        <v/>
      </c>
      <c r="AG64" s="51" t="str">
        <f aca="false">IF(A64="","",WEEKDAY(A64,2))</f>
        <v/>
      </c>
    </row>
    <row r="65" customFormat="false" ht="15" hidden="false" customHeight="false" outlineLevel="0" collapsed="false">
      <c r="A65" s="43"/>
      <c r="B65" s="11" t="str">
        <f aca="false">IF(A65="","",TEXT(A65,"ddd"))</f>
        <v/>
      </c>
      <c r="C65" s="44"/>
      <c r="D65" s="16"/>
      <c r="E65" s="16"/>
      <c r="F65" s="16"/>
      <c r="G65" s="16"/>
      <c r="H65" s="45"/>
      <c r="I65" s="45"/>
      <c r="J65" s="11" t="str">
        <f aca="false">IF(I65="","",LEN(I65))</f>
        <v/>
      </c>
      <c r="K65" s="16"/>
      <c r="L65" s="16"/>
      <c r="M65" s="11" t="str">
        <f aca="false">IF(L65="","",IFERROR(INDEX('Hashtag Bank'!$E$5:$E$104,MATCH(L65,'Hashtag Bank'!$B$5:$B$104,0)),""))</f>
        <v/>
      </c>
      <c r="N65" s="16"/>
      <c r="O65" s="16"/>
      <c r="P65" s="16"/>
      <c r="Q65" s="46" t="str">
        <f aca="true">IF(A65&amp;H65="","",TRIM(IF(AND(A65&lt;&gt;"",A65&lt;TODAY(),O65&lt;&gt;"Published",O65&lt;&gt;"Repurpose"),"⚠ Overdue ","")&amp;IF(AND(J65&lt;&gt;"",D65&lt;&gt;"",IFERROR(J65&gt;INDEX(Setup!$E$9:$E$18,MATCH(D65,Setup!$B$9:$B$18,0)),FALSE())),"✂ Caption too long ","")&amp;IF(AND(M65&lt;&gt;"",D65&lt;&gt;"",IFERROR(M65&gt;INDEX(Setup!$F$9:$F$18,MATCH(D65,Setup!$B$9:$B$18,0)),FALSE())),"# Too many tags","")))</f>
        <v/>
      </c>
      <c r="R65" s="16"/>
      <c r="S65" s="19"/>
      <c r="T65" s="19"/>
      <c r="U65" s="19"/>
      <c r="V65" s="19"/>
      <c r="W65" s="19"/>
      <c r="X65" s="19"/>
      <c r="Y65" s="19"/>
      <c r="Z65" s="47" t="str">
        <f aca="false">IF(COUNT(U65:X65)=0,"",SUM(U65:X65))</f>
        <v/>
      </c>
      <c r="AA65" s="48" t="str">
        <f aca="false">IF(OR(Z65="",N(T65)=0),"",Z65/T65)</f>
        <v/>
      </c>
      <c r="AB65" s="45"/>
      <c r="AC65" s="51" t="str">
        <f aca="false">IF(A65="","",A65+N(C65)+ROW()/10^7)</f>
        <v/>
      </c>
      <c r="AD65" s="51" t="str">
        <f aca="false">IF(A65="","",TEXT(A65,"0")&amp;"|"&amp;COUNTIFS('Content Log'!$A$5:$A$504,A65,'Content Log'!$AC$5:$AC$504,"&lt;="&amp;AC65))</f>
        <v/>
      </c>
      <c r="AE65" s="51" t="str">
        <f aca="false">IF(A65="","",IFERROR(INDEX(Setup!$N$9:$N$14,MATCH(O65,Setup!$M$9:$M$14,0))&amp;" ","")&amp;IF(C65="","",TEXT(C65,"h:mm AM/PM")&amp;" ")&amp;D65&amp;IF(H65="",""," · "&amp;H65))</f>
        <v/>
      </c>
      <c r="AF65" s="51" t="str">
        <f aca="false">IF(OR(A65="",AA65=""),"",IF(AND(A65&gt;=Dashboard!$G$4,A65&lt;=Dashboard!$I$4),AA65+ROW()/10^9,""))</f>
        <v/>
      </c>
      <c r="AG65" s="51" t="str">
        <f aca="false">IF(A65="","",WEEKDAY(A65,2))</f>
        <v/>
      </c>
    </row>
    <row r="66" customFormat="false" ht="15" hidden="false" customHeight="false" outlineLevel="0" collapsed="false">
      <c r="A66" s="43"/>
      <c r="B66" s="11" t="str">
        <f aca="false">IF(A66="","",TEXT(A66,"ddd"))</f>
        <v/>
      </c>
      <c r="C66" s="44"/>
      <c r="D66" s="16"/>
      <c r="E66" s="16"/>
      <c r="F66" s="16"/>
      <c r="G66" s="16"/>
      <c r="H66" s="45"/>
      <c r="I66" s="45"/>
      <c r="J66" s="11" t="str">
        <f aca="false">IF(I66="","",LEN(I66))</f>
        <v/>
      </c>
      <c r="K66" s="16"/>
      <c r="L66" s="16"/>
      <c r="M66" s="11" t="str">
        <f aca="false">IF(L66="","",IFERROR(INDEX('Hashtag Bank'!$E$5:$E$104,MATCH(L66,'Hashtag Bank'!$B$5:$B$104,0)),""))</f>
        <v/>
      </c>
      <c r="N66" s="16"/>
      <c r="O66" s="16"/>
      <c r="P66" s="16"/>
      <c r="Q66" s="46" t="str">
        <f aca="true">IF(A66&amp;H66="","",TRIM(IF(AND(A66&lt;&gt;"",A66&lt;TODAY(),O66&lt;&gt;"Published",O66&lt;&gt;"Repurpose"),"⚠ Overdue ","")&amp;IF(AND(J66&lt;&gt;"",D66&lt;&gt;"",IFERROR(J66&gt;INDEX(Setup!$E$9:$E$18,MATCH(D66,Setup!$B$9:$B$18,0)),FALSE())),"✂ Caption too long ","")&amp;IF(AND(M66&lt;&gt;"",D66&lt;&gt;"",IFERROR(M66&gt;INDEX(Setup!$F$9:$F$18,MATCH(D66,Setup!$B$9:$B$18,0)),FALSE())),"# Too many tags","")))</f>
        <v/>
      </c>
      <c r="R66" s="16"/>
      <c r="S66" s="19"/>
      <c r="T66" s="19"/>
      <c r="U66" s="19"/>
      <c r="V66" s="19"/>
      <c r="W66" s="19"/>
      <c r="X66" s="19"/>
      <c r="Y66" s="19"/>
      <c r="Z66" s="47" t="str">
        <f aca="false">IF(COUNT(U66:X66)=0,"",SUM(U66:X66))</f>
        <v/>
      </c>
      <c r="AA66" s="48" t="str">
        <f aca="false">IF(OR(Z66="",N(T66)=0),"",Z66/T66)</f>
        <v/>
      </c>
      <c r="AB66" s="45"/>
      <c r="AC66" s="51" t="str">
        <f aca="false">IF(A66="","",A66+N(C66)+ROW()/10^7)</f>
        <v/>
      </c>
      <c r="AD66" s="51" t="str">
        <f aca="false">IF(A66="","",TEXT(A66,"0")&amp;"|"&amp;COUNTIFS('Content Log'!$A$5:$A$504,A66,'Content Log'!$AC$5:$AC$504,"&lt;="&amp;AC66))</f>
        <v/>
      </c>
      <c r="AE66" s="51" t="str">
        <f aca="false">IF(A66="","",IFERROR(INDEX(Setup!$N$9:$N$14,MATCH(O66,Setup!$M$9:$M$14,0))&amp;" ","")&amp;IF(C66="","",TEXT(C66,"h:mm AM/PM")&amp;" ")&amp;D66&amp;IF(H66="",""," · "&amp;H66))</f>
        <v/>
      </c>
      <c r="AF66" s="51" t="str">
        <f aca="false">IF(OR(A66="",AA66=""),"",IF(AND(A66&gt;=Dashboard!$G$4,A66&lt;=Dashboard!$I$4),AA66+ROW()/10^9,""))</f>
        <v/>
      </c>
      <c r="AG66" s="51" t="str">
        <f aca="false">IF(A66="","",WEEKDAY(A66,2))</f>
        <v/>
      </c>
    </row>
    <row r="67" customFormat="false" ht="15" hidden="false" customHeight="false" outlineLevel="0" collapsed="false">
      <c r="A67" s="43"/>
      <c r="B67" s="11" t="str">
        <f aca="false">IF(A67="","",TEXT(A67,"ddd"))</f>
        <v/>
      </c>
      <c r="C67" s="44"/>
      <c r="D67" s="16"/>
      <c r="E67" s="16"/>
      <c r="F67" s="16"/>
      <c r="G67" s="16"/>
      <c r="H67" s="45"/>
      <c r="I67" s="45"/>
      <c r="J67" s="11" t="str">
        <f aca="false">IF(I67="","",LEN(I67))</f>
        <v/>
      </c>
      <c r="K67" s="16"/>
      <c r="L67" s="16"/>
      <c r="M67" s="11" t="str">
        <f aca="false">IF(L67="","",IFERROR(INDEX('Hashtag Bank'!$E$5:$E$104,MATCH(L67,'Hashtag Bank'!$B$5:$B$104,0)),""))</f>
        <v/>
      </c>
      <c r="N67" s="16"/>
      <c r="O67" s="16"/>
      <c r="P67" s="16"/>
      <c r="Q67" s="46" t="str">
        <f aca="true">IF(A67&amp;H67="","",TRIM(IF(AND(A67&lt;&gt;"",A67&lt;TODAY(),O67&lt;&gt;"Published",O67&lt;&gt;"Repurpose"),"⚠ Overdue ","")&amp;IF(AND(J67&lt;&gt;"",D67&lt;&gt;"",IFERROR(J67&gt;INDEX(Setup!$E$9:$E$18,MATCH(D67,Setup!$B$9:$B$18,0)),FALSE())),"✂ Caption too long ","")&amp;IF(AND(M67&lt;&gt;"",D67&lt;&gt;"",IFERROR(M67&gt;INDEX(Setup!$F$9:$F$18,MATCH(D67,Setup!$B$9:$B$18,0)),FALSE())),"# Too many tags","")))</f>
        <v/>
      </c>
      <c r="R67" s="16"/>
      <c r="S67" s="19"/>
      <c r="T67" s="19"/>
      <c r="U67" s="19"/>
      <c r="V67" s="19"/>
      <c r="W67" s="19"/>
      <c r="X67" s="19"/>
      <c r="Y67" s="19"/>
      <c r="Z67" s="47" t="str">
        <f aca="false">IF(COUNT(U67:X67)=0,"",SUM(U67:X67))</f>
        <v/>
      </c>
      <c r="AA67" s="48" t="str">
        <f aca="false">IF(OR(Z67="",N(T67)=0),"",Z67/T67)</f>
        <v/>
      </c>
      <c r="AB67" s="45"/>
      <c r="AC67" s="51" t="str">
        <f aca="false">IF(A67="","",A67+N(C67)+ROW()/10^7)</f>
        <v/>
      </c>
      <c r="AD67" s="51" t="str">
        <f aca="false">IF(A67="","",TEXT(A67,"0")&amp;"|"&amp;COUNTIFS('Content Log'!$A$5:$A$504,A67,'Content Log'!$AC$5:$AC$504,"&lt;="&amp;AC67))</f>
        <v/>
      </c>
      <c r="AE67" s="51" t="str">
        <f aca="false">IF(A67="","",IFERROR(INDEX(Setup!$N$9:$N$14,MATCH(O67,Setup!$M$9:$M$14,0))&amp;" ","")&amp;IF(C67="","",TEXT(C67,"h:mm AM/PM")&amp;" ")&amp;D67&amp;IF(H67="",""," · "&amp;H67))</f>
        <v/>
      </c>
      <c r="AF67" s="51" t="str">
        <f aca="false">IF(OR(A67="",AA67=""),"",IF(AND(A67&gt;=Dashboard!$G$4,A67&lt;=Dashboard!$I$4),AA67+ROW()/10^9,""))</f>
        <v/>
      </c>
      <c r="AG67" s="51" t="str">
        <f aca="false">IF(A67="","",WEEKDAY(A67,2))</f>
        <v/>
      </c>
    </row>
    <row r="68" customFormat="false" ht="15" hidden="false" customHeight="false" outlineLevel="0" collapsed="false">
      <c r="A68" s="43"/>
      <c r="B68" s="11" t="str">
        <f aca="false">IF(A68="","",TEXT(A68,"ddd"))</f>
        <v/>
      </c>
      <c r="C68" s="44"/>
      <c r="D68" s="16"/>
      <c r="E68" s="16"/>
      <c r="F68" s="16"/>
      <c r="G68" s="16"/>
      <c r="H68" s="45"/>
      <c r="I68" s="45"/>
      <c r="J68" s="11" t="str">
        <f aca="false">IF(I68="","",LEN(I68))</f>
        <v/>
      </c>
      <c r="K68" s="16"/>
      <c r="L68" s="16"/>
      <c r="M68" s="11" t="str">
        <f aca="false">IF(L68="","",IFERROR(INDEX('Hashtag Bank'!$E$5:$E$104,MATCH(L68,'Hashtag Bank'!$B$5:$B$104,0)),""))</f>
        <v/>
      </c>
      <c r="N68" s="16"/>
      <c r="O68" s="16"/>
      <c r="P68" s="16"/>
      <c r="Q68" s="46" t="str">
        <f aca="true">IF(A68&amp;H68="","",TRIM(IF(AND(A68&lt;&gt;"",A68&lt;TODAY(),O68&lt;&gt;"Published",O68&lt;&gt;"Repurpose"),"⚠ Overdue ","")&amp;IF(AND(J68&lt;&gt;"",D68&lt;&gt;"",IFERROR(J68&gt;INDEX(Setup!$E$9:$E$18,MATCH(D68,Setup!$B$9:$B$18,0)),FALSE())),"✂ Caption too long ","")&amp;IF(AND(M68&lt;&gt;"",D68&lt;&gt;"",IFERROR(M68&gt;INDEX(Setup!$F$9:$F$18,MATCH(D68,Setup!$B$9:$B$18,0)),FALSE())),"# Too many tags","")))</f>
        <v/>
      </c>
      <c r="R68" s="16"/>
      <c r="S68" s="19"/>
      <c r="T68" s="19"/>
      <c r="U68" s="19"/>
      <c r="V68" s="19"/>
      <c r="W68" s="19"/>
      <c r="X68" s="19"/>
      <c r="Y68" s="19"/>
      <c r="Z68" s="47" t="str">
        <f aca="false">IF(COUNT(U68:X68)=0,"",SUM(U68:X68))</f>
        <v/>
      </c>
      <c r="AA68" s="48" t="str">
        <f aca="false">IF(OR(Z68="",N(T68)=0),"",Z68/T68)</f>
        <v/>
      </c>
      <c r="AB68" s="45"/>
      <c r="AC68" s="51" t="str">
        <f aca="false">IF(A68="","",A68+N(C68)+ROW()/10^7)</f>
        <v/>
      </c>
      <c r="AD68" s="51" t="str">
        <f aca="false">IF(A68="","",TEXT(A68,"0")&amp;"|"&amp;COUNTIFS('Content Log'!$A$5:$A$504,A68,'Content Log'!$AC$5:$AC$504,"&lt;="&amp;AC68))</f>
        <v/>
      </c>
      <c r="AE68" s="51" t="str">
        <f aca="false">IF(A68="","",IFERROR(INDEX(Setup!$N$9:$N$14,MATCH(O68,Setup!$M$9:$M$14,0))&amp;" ","")&amp;IF(C68="","",TEXT(C68,"h:mm AM/PM")&amp;" ")&amp;D68&amp;IF(H68="",""," · "&amp;H68))</f>
        <v/>
      </c>
      <c r="AF68" s="51" t="str">
        <f aca="false">IF(OR(A68="",AA68=""),"",IF(AND(A68&gt;=Dashboard!$G$4,A68&lt;=Dashboard!$I$4),AA68+ROW()/10^9,""))</f>
        <v/>
      </c>
      <c r="AG68" s="51" t="str">
        <f aca="false">IF(A68="","",WEEKDAY(A68,2))</f>
        <v/>
      </c>
    </row>
    <row r="69" customFormat="false" ht="15" hidden="false" customHeight="false" outlineLevel="0" collapsed="false">
      <c r="A69" s="43"/>
      <c r="B69" s="11" t="str">
        <f aca="false">IF(A69="","",TEXT(A69,"ddd"))</f>
        <v/>
      </c>
      <c r="C69" s="44"/>
      <c r="D69" s="16"/>
      <c r="E69" s="16"/>
      <c r="F69" s="16"/>
      <c r="G69" s="16"/>
      <c r="H69" s="45"/>
      <c r="I69" s="45"/>
      <c r="J69" s="11" t="str">
        <f aca="false">IF(I69="","",LEN(I69))</f>
        <v/>
      </c>
      <c r="K69" s="16"/>
      <c r="L69" s="16"/>
      <c r="M69" s="11" t="str">
        <f aca="false">IF(L69="","",IFERROR(INDEX('Hashtag Bank'!$E$5:$E$104,MATCH(L69,'Hashtag Bank'!$B$5:$B$104,0)),""))</f>
        <v/>
      </c>
      <c r="N69" s="16"/>
      <c r="O69" s="16"/>
      <c r="P69" s="16"/>
      <c r="Q69" s="46" t="str">
        <f aca="true">IF(A69&amp;H69="","",TRIM(IF(AND(A69&lt;&gt;"",A69&lt;TODAY(),O69&lt;&gt;"Published",O69&lt;&gt;"Repurpose"),"⚠ Overdue ","")&amp;IF(AND(J69&lt;&gt;"",D69&lt;&gt;"",IFERROR(J69&gt;INDEX(Setup!$E$9:$E$18,MATCH(D69,Setup!$B$9:$B$18,0)),FALSE())),"✂ Caption too long ","")&amp;IF(AND(M69&lt;&gt;"",D69&lt;&gt;"",IFERROR(M69&gt;INDEX(Setup!$F$9:$F$18,MATCH(D69,Setup!$B$9:$B$18,0)),FALSE())),"# Too many tags","")))</f>
        <v/>
      </c>
      <c r="R69" s="16"/>
      <c r="S69" s="19"/>
      <c r="T69" s="19"/>
      <c r="U69" s="19"/>
      <c r="V69" s="19"/>
      <c r="W69" s="19"/>
      <c r="X69" s="19"/>
      <c r="Y69" s="19"/>
      <c r="Z69" s="47" t="str">
        <f aca="false">IF(COUNT(U69:X69)=0,"",SUM(U69:X69))</f>
        <v/>
      </c>
      <c r="AA69" s="48" t="str">
        <f aca="false">IF(OR(Z69="",N(T69)=0),"",Z69/T69)</f>
        <v/>
      </c>
      <c r="AB69" s="45"/>
      <c r="AC69" s="51" t="str">
        <f aca="false">IF(A69="","",A69+N(C69)+ROW()/10^7)</f>
        <v/>
      </c>
      <c r="AD69" s="51" t="str">
        <f aca="false">IF(A69="","",TEXT(A69,"0")&amp;"|"&amp;COUNTIFS('Content Log'!$A$5:$A$504,A69,'Content Log'!$AC$5:$AC$504,"&lt;="&amp;AC69))</f>
        <v/>
      </c>
      <c r="AE69" s="51" t="str">
        <f aca="false">IF(A69="","",IFERROR(INDEX(Setup!$N$9:$N$14,MATCH(O69,Setup!$M$9:$M$14,0))&amp;" ","")&amp;IF(C69="","",TEXT(C69,"h:mm AM/PM")&amp;" ")&amp;D69&amp;IF(H69="",""," · "&amp;H69))</f>
        <v/>
      </c>
      <c r="AF69" s="51" t="str">
        <f aca="false">IF(OR(A69="",AA69=""),"",IF(AND(A69&gt;=Dashboard!$G$4,A69&lt;=Dashboard!$I$4),AA69+ROW()/10^9,""))</f>
        <v/>
      </c>
      <c r="AG69" s="51" t="str">
        <f aca="false">IF(A69="","",WEEKDAY(A69,2))</f>
        <v/>
      </c>
    </row>
    <row r="70" customFormat="false" ht="15" hidden="false" customHeight="false" outlineLevel="0" collapsed="false">
      <c r="A70" s="43"/>
      <c r="B70" s="11" t="str">
        <f aca="false">IF(A70="","",TEXT(A70,"ddd"))</f>
        <v/>
      </c>
      <c r="C70" s="44"/>
      <c r="D70" s="16"/>
      <c r="E70" s="16"/>
      <c r="F70" s="16"/>
      <c r="G70" s="16"/>
      <c r="H70" s="45"/>
      <c r="I70" s="45"/>
      <c r="J70" s="11" t="str">
        <f aca="false">IF(I70="","",LEN(I70))</f>
        <v/>
      </c>
      <c r="K70" s="16"/>
      <c r="L70" s="16"/>
      <c r="M70" s="11" t="str">
        <f aca="false">IF(L70="","",IFERROR(INDEX('Hashtag Bank'!$E$5:$E$104,MATCH(L70,'Hashtag Bank'!$B$5:$B$104,0)),""))</f>
        <v/>
      </c>
      <c r="N70" s="16"/>
      <c r="O70" s="16"/>
      <c r="P70" s="16"/>
      <c r="Q70" s="46" t="str">
        <f aca="true">IF(A70&amp;H70="","",TRIM(IF(AND(A70&lt;&gt;"",A70&lt;TODAY(),O70&lt;&gt;"Published",O70&lt;&gt;"Repurpose"),"⚠ Overdue ","")&amp;IF(AND(J70&lt;&gt;"",D70&lt;&gt;"",IFERROR(J70&gt;INDEX(Setup!$E$9:$E$18,MATCH(D70,Setup!$B$9:$B$18,0)),FALSE())),"✂ Caption too long ","")&amp;IF(AND(M70&lt;&gt;"",D70&lt;&gt;"",IFERROR(M70&gt;INDEX(Setup!$F$9:$F$18,MATCH(D70,Setup!$B$9:$B$18,0)),FALSE())),"# Too many tags","")))</f>
        <v/>
      </c>
      <c r="R70" s="16"/>
      <c r="S70" s="19"/>
      <c r="T70" s="19"/>
      <c r="U70" s="19"/>
      <c r="V70" s="19"/>
      <c r="W70" s="19"/>
      <c r="X70" s="19"/>
      <c r="Y70" s="19"/>
      <c r="Z70" s="47" t="str">
        <f aca="false">IF(COUNT(U70:X70)=0,"",SUM(U70:X70))</f>
        <v/>
      </c>
      <c r="AA70" s="48" t="str">
        <f aca="false">IF(OR(Z70="",N(T70)=0),"",Z70/T70)</f>
        <v/>
      </c>
      <c r="AB70" s="45"/>
      <c r="AC70" s="51" t="str">
        <f aca="false">IF(A70="","",A70+N(C70)+ROW()/10^7)</f>
        <v/>
      </c>
      <c r="AD70" s="51" t="str">
        <f aca="false">IF(A70="","",TEXT(A70,"0")&amp;"|"&amp;COUNTIFS('Content Log'!$A$5:$A$504,A70,'Content Log'!$AC$5:$AC$504,"&lt;="&amp;AC70))</f>
        <v/>
      </c>
      <c r="AE70" s="51" t="str">
        <f aca="false">IF(A70="","",IFERROR(INDEX(Setup!$N$9:$N$14,MATCH(O70,Setup!$M$9:$M$14,0))&amp;" ","")&amp;IF(C70="","",TEXT(C70,"h:mm AM/PM")&amp;" ")&amp;D70&amp;IF(H70="",""," · "&amp;H70))</f>
        <v/>
      </c>
      <c r="AF70" s="51" t="str">
        <f aca="false">IF(OR(A70="",AA70=""),"",IF(AND(A70&gt;=Dashboard!$G$4,A70&lt;=Dashboard!$I$4),AA70+ROW()/10^9,""))</f>
        <v/>
      </c>
      <c r="AG70" s="51" t="str">
        <f aca="false">IF(A70="","",WEEKDAY(A70,2))</f>
        <v/>
      </c>
    </row>
    <row r="71" customFormat="false" ht="15" hidden="false" customHeight="false" outlineLevel="0" collapsed="false">
      <c r="A71" s="43"/>
      <c r="B71" s="11" t="str">
        <f aca="false">IF(A71="","",TEXT(A71,"ddd"))</f>
        <v/>
      </c>
      <c r="C71" s="44"/>
      <c r="D71" s="16"/>
      <c r="E71" s="16"/>
      <c r="F71" s="16"/>
      <c r="G71" s="16"/>
      <c r="H71" s="45"/>
      <c r="I71" s="45"/>
      <c r="J71" s="11" t="str">
        <f aca="false">IF(I71="","",LEN(I71))</f>
        <v/>
      </c>
      <c r="K71" s="16"/>
      <c r="L71" s="16"/>
      <c r="M71" s="11" t="str">
        <f aca="false">IF(L71="","",IFERROR(INDEX('Hashtag Bank'!$E$5:$E$104,MATCH(L71,'Hashtag Bank'!$B$5:$B$104,0)),""))</f>
        <v/>
      </c>
      <c r="N71" s="16"/>
      <c r="O71" s="16"/>
      <c r="P71" s="16"/>
      <c r="Q71" s="46" t="str">
        <f aca="true">IF(A71&amp;H71="","",TRIM(IF(AND(A71&lt;&gt;"",A71&lt;TODAY(),O71&lt;&gt;"Published",O71&lt;&gt;"Repurpose"),"⚠ Overdue ","")&amp;IF(AND(J71&lt;&gt;"",D71&lt;&gt;"",IFERROR(J71&gt;INDEX(Setup!$E$9:$E$18,MATCH(D71,Setup!$B$9:$B$18,0)),FALSE())),"✂ Caption too long ","")&amp;IF(AND(M71&lt;&gt;"",D71&lt;&gt;"",IFERROR(M71&gt;INDEX(Setup!$F$9:$F$18,MATCH(D71,Setup!$B$9:$B$18,0)),FALSE())),"# Too many tags","")))</f>
        <v/>
      </c>
      <c r="R71" s="16"/>
      <c r="S71" s="19"/>
      <c r="T71" s="19"/>
      <c r="U71" s="19"/>
      <c r="V71" s="19"/>
      <c r="W71" s="19"/>
      <c r="X71" s="19"/>
      <c r="Y71" s="19"/>
      <c r="Z71" s="47" t="str">
        <f aca="false">IF(COUNT(U71:X71)=0,"",SUM(U71:X71))</f>
        <v/>
      </c>
      <c r="AA71" s="48" t="str">
        <f aca="false">IF(OR(Z71="",N(T71)=0),"",Z71/T71)</f>
        <v/>
      </c>
      <c r="AB71" s="45"/>
      <c r="AC71" s="51" t="str">
        <f aca="false">IF(A71="","",A71+N(C71)+ROW()/10^7)</f>
        <v/>
      </c>
      <c r="AD71" s="51" t="str">
        <f aca="false">IF(A71="","",TEXT(A71,"0")&amp;"|"&amp;COUNTIFS('Content Log'!$A$5:$A$504,A71,'Content Log'!$AC$5:$AC$504,"&lt;="&amp;AC71))</f>
        <v/>
      </c>
      <c r="AE71" s="51" t="str">
        <f aca="false">IF(A71="","",IFERROR(INDEX(Setup!$N$9:$N$14,MATCH(O71,Setup!$M$9:$M$14,0))&amp;" ","")&amp;IF(C71="","",TEXT(C71,"h:mm AM/PM")&amp;" ")&amp;D71&amp;IF(H71="",""," · "&amp;H71))</f>
        <v/>
      </c>
      <c r="AF71" s="51" t="str">
        <f aca="false">IF(OR(A71="",AA71=""),"",IF(AND(A71&gt;=Dashboard!$G$4,A71&lt;=Dashboard!$I$4),AA71+ROW()/10^9,""))</f>
        <v/>
      </c>
      <c r="AG71" s="51" t="str">
        <f aca="false">IF(A71="","",WEEKDAY(A71,2))</f>
        <v/>
      </c>
    </row>
    <row r="72" customFormat="false" ht="15" hidden="false" customHeight="false" outlineLevel="0" collapsed="false">
      <c r="A72" s="43"/>
      <c r="B72" s="11" t="str">
        <f aca="false">IF(A72="","",TEXT(A72,"ddd"))</f>
        <v/>
      </c>
      <c r="C72" s="44"/>
      <c r="D72" s="16"/>
      <c r="E72" s="16"/>
      <c r="F72" s="16"/>
      <c r="G72" s="16"/>
      <c r="H72" s="45"/>
      <c r="I72" s="45"/>
      <c r="J72" s="11" t="str">
        <f aca="false">IF(I72="","",LEN(I72))</f>
        <v/>
      </c>
      <c r="K72" s="16"/>
      <c r="L72" s="16"/>
      <c r="M72" s="11" t="str">
        <f aca="false">IF(L72="","",IFERROR(INDEX('Hashtag Bank'!$E$5:$E$104,MATCH(L72,'Hashtag Bank'!$B$5:$B$104,0)),""))</f>
        <v/>
      </c>
      <c r="N72" s="16"/>
      <c r="O72" s="16"/>
      <c r="P72" s="16"/>
      <c r="Q72" s="46" t="str">
        <f aca="true">IF(A72&amp;H72="","",TRIM(IF(AND(A72&lt;&gt;"",A72&lt;TODAY(),O72&lt;&gt;"Published",O72&lt;&gt;"Repurpose"),"⚠ Overdue ","")&amp;IF(AND(J72&lt;&gt;"",D72&lt;&gt;"",IFERROR(J72&gt;INDEX(Setup!$E$9:$E$18,MATCH(D72,Setup!$B$9:$B$18,0)),FALSE())),"✂ Caption too long ","")&amp;IF(AND(M72&lt;&gt;"",D72&lt;&gt;"",IFERROR(M72&gt;INDEX(Setup!$F$9:$F$18,MATCH(D72,Setup!$B$9:$B$18,0)),FALSE())),"# Too many tags","")))</f>
        <v/>
      </c>
      <c r="R72" s="16"/>
      <c r="S72" s="19"/>
      <c r="T72" s="19"/>
      <c r="U72" s="19"/>
      <c r="V72" s="19"/>
      <c r="W72" s="19"/>
      <c r="X72" s="19"/>
      <c r="Y72" s="19"/>
      <c r="Z72" s="47" t="str">
        <f aca="false">IF(COUNT(U72:X72)=0,"",SUM(U72:X72))</f>
        <v/>
      </c>
      <c r="AA72" s="48" t="str">
        <f aca="false">IF(OR(Z72="",N(T72)=0),"",Z72/T72)</f>
        <v/>
      </c>
      <c r="AB72" s="45"/>
      <c r="AC72" s="51" t="str">
        <f aca="false">IF(A72="","",A72+N(C72)+ROW()/10^7)</f>
        <v/>
      </c>
      <c r="AD72" s="51" t="str">
        <f aca="false">IF(A72="","",TEXT(A72,"0")&amp;"|"&amp;COUNTIFS('Content Log'!$A$5:$A$504,A72,'Content Log'!$AC$5:$AC$504,"&lt;="&amp;AC72))</f>
        <v/>
      </c>
      <c r="AE72" s="51" t="str">
        <f aca="false">IF(A72="","",IFERROR(INDEX(Setup!$N$9:$N$14,MATCH(O72,Setup!$M$9:$M$14,0))&amp;" ","")&amp;IF(C72="","",TEXT(C72,"h:mm AM/PM")&amp;" ")&amp;D72&amp;IF(H72="",""," · "&amp;H72))</f>
        <v/>
      </c>
      <c r="AF72" s="51" t="str">
        <f aca="false">IF(OR(A72="",AA72=""),"",IF(AND(A72&gt;=Dashboard!$G$4,A72&lt;=Dashboard!$I$4),AA72+ROW()/10^9,""))</f>
        <v/>
      </c>
      <c r="AG72" s="51" t="str">
        <f aca="false">IF(A72="","",WEEKDAY(A72,2))</f>
        <v/>
      </c>
    </row>
    <row r="73" customFormat="false" ht="15" hidden="false" customHeight="false" outlineLevel="0" collapsed="false">
      <c r="A73" s="43"/>
      <c r="B73" s="11" t="str">
        <f aca="false">IF(A73="","",TEXT(A73,"ddd"))</f>
        <v/>
      </c>
      <c r="C73" s="44"/>
      <c r="D73" s="16"/>
      <c r="E73" s="16"/>
      <c r="F73" s="16"/>
      <c r="G73" s="16"/>
      <c r="H73" s="45"/>
      <c r="I73" s="45"/>
      <c r="J73" s="11" t="str">
        <f aca="false">IF(I73="","",LEN(I73))</f>
        <v/>
      </c>
      <c r="K73" s="16"/>
      <c r="L73" s="16"/>
      <c r="M73" s="11" t="str">
        <f aca="false">IF(L73="","",IFERROR(INDEX('Hashtag Bank'!$E$5:$E$104,MATCH(L73,'Hashtag Bank'!$B$5:$B$104,0)),""))</f>
        <v/>
      </c>
      <c r="N73" s="16"/>
      <c r="O73" s="16"/>
      <c r="P73" s="16"/>
      <c r="Q73" s="46" t="str">
        <f aca="true">IF(A73&amp;H73="","",TRIM(IF(AND(A73&lt;&gt;"",A73&lt;TODAY(),O73&lt;&gt;"Published",O73&lt;&gt;"Repurpose"),"⚠ Overdue ","")&amp;IF(AND(J73&lt;&gt;"",D73&lt;&gt;"",IFERROR(J73&gt;INDEX(Setup!$E$9:$E$18,MATCH(D73,Setup!$B$9:$B$18,0)),FALSE())),"✂ Caption too long ","")&amp;IF(AND(M73&lt;&gt;"",D73&lt;&gt;"",IFERROR(M73&gt;INDEX(Setup!$F$9:$F$18,MATCH(D73,Setup!$B$9:$B$18,0)),FALSE())),"# Too many tags","")))</f>
        <v/>
      </c>
      <c r="R73" s="16"/>
      <c r="S73" s="19"/>
      <c r="T73" s="19"/>
      <c r="U73" s="19"/>
      <c r="V73" s="19"/>
      <c r="W73" s="19"/>
      <c r="X73" s="19"/>
      <c r="Y73" s="19"/>
      <c r="Z73" s="47" t="str">
        <f aca="false">IF(COUNT(U73:X73)=0,"",SUM(U73:X73))</f>
        <v/>
      </c>
      <c r="AA73" s="48" t="str">
        <f aca="false">IF(OR(Z73="",N(T73)=0),"",Z73/T73)</f>
        <v/>
      </c>
      <c r="AB73" s="45"/>
      <c r="AC73" s="51" t="str">
        <f aca="false">IF(A73="","",A73+N(C73)+ROW()/10^7)</f>
        <v/>
      </c>
      <c r="AD73" s="51" t="str">
        <f aca="false">IF(A73="","",TEXT(A73,"0")&amp;"|"&amp;COUNTIFS('Content Log'!$A$5:$A$504,A73,'Content Log'!$AC$5:$AC$504,"&lt;="&amp;AC73))</f>
        <v/>
      </c>
      <c r="AE73" s="51" t="str">
        <f aca="false">IF(A73="","",IFERROR(INDEX(Setup!$N$9:$N$14,MATCH(O73,Setup!$M$9:$M$14,0))&amp;" ","")&amp;IF(C73="","",TEXT(C73,"h:mm AM/PM")&amp;" ")&amp;D73&amp;IF(H73="",""," · "&amp;H73))</f>
        <v/>
      </c>
      <c r="AF73" s="51" t="str">
        <f aca="false">IF(OR(A73="",AA73=""),"",IF(AND(A73&gt;=Dashboard!$G$4,A73&lt;=Dashboard!$I$4),AA73+ROW()/10^9,""))</f>
        <v/>
      </c>
      <c r="AG73" s="51" t="str">
        <f aca="false">IF(A73="","",WEEKDAY(A73,2))</f>
        <v/>
      </c>
    </row>
    <row r="74" customFormat="false" ht="15" hidden="false" customHeight="false" outlineLevel="0" collapsed="false">
      <c r="A74" s="43"/>
      <c r="B74" s="11" t="str">
        <f aca="false">IF(A74="","",TEXT(A74,"ddd"))</f>
        <v/>
      </c>
      <c r="C74" s="44"/>
      <c r="D74" s="16"/>
      <c r="E74" s="16"/>
      <c r="F74" s="16"/>
      <c r="G74" s="16"/>
      <c r="H74" s="45"/>
      <c r="I74" s="45"/>
      <c r="J74" s="11" t="str">
        <f aca="false">IF(I74="","",LEN(I74))</f>
        <v/>
      </c>
      <c r="K74" s="16"/>
      <c r="L74" s="16"/>
      <c r="M74" s="11" t="str">
        <f aca="false">IF(L74="","",IFERROR(INDEX('Hashtag Bank'!$E$5:$E$104,MATCH(L74,'Hashtag Bank'!$B$5:$B$104,0)),""))</f>
        <v/>
      </c>
      <c r="N74" s="16"/>
      <c r="O74" s="16"/>
      <c r="P74" s="16"/>
      <c r="Q74" s="46" t="str">
        <f aca="true">IF(A74&amp;H74="","",TRIM(IF(AND(A74&lt;&gt;"",A74&lt;TODAY(),O74&lt;&gt;"Published",O74&lt;&gt;"Repurpose"),"⚠ Overdue ","")&amp;IF(AND(J74&lt;&gt;"",D74&lt;&gt;"",IFERROR(J74&gt;INDEX(Setup!$E$9:$E$18,MATCH(D74,Setup!$B$9:$B$18,0)),FALSE())),"✂ Caption too long ","")&amp;IF(AND(M74&lt;&gt;"",D74&lt;&gt;"",IFERROR(M74&gt;INDEX(Setup!$F$9:$F$18,MATCH(D74,Setup!$B$9:$B$18,0)),FALSE())),"# Too many tags","")))</f>
        <v/>
      </c>
      <c r="R74" s="16"/>
      <c r="S74" s="19"/>
      <c r="T74" s="19"/>
      <c r="U74" s="19"/>
      <c r="V74" s="19"/>
      <c r="W74" s="19"/>
      <c r="X74" s="19"/>
      <c r="Y74" s="19"/>
      <c r="Z74" s="47" t="str">
        <f aca="false">IF(COUNT(U74:X74)=0,"",SUM(U74:X74))</f>
        <v/>
      </c>
      <c r="AA74" s="48" t="str">
        <f aca="false">IF(OR(Z74="",N(T74)=0),"",Z74/T74)</f>
        <v/>
      </c>
      <c r="AB74" s="45"/>
      <c r="AC74" s="51" t="str">
        <f aca="false">IF(A74="","",A74+N(C74)+ROW()/10^7)</f>
        <v/>
      </c>
      <c r="AD74" s="51" t="str">
        <f aca="false">IF(A74="","",TEXT(A74,"0")&amp;"|"&amp;COUNTIFS('Content Log'!$A$5:$A$504,A74,'Content Log'!$AC$5:$AC$504,"&lt;="&amp;AC74))</f>
        <v/>
      </c>
      <c r="AE74" s="51" t="str">
        <f aca="false">IF(A74="","",IFERROR(INDEX(Setup!$N$9:$N$14,MATCH(O74,Setup!$M$9:$M$14,0))&amp;" ","")&amp;IF(C74="","",TEXT(C74,"h:mm AM/PM")&amp;" ")&amp;D74&amp;IF(H74="",""," · "&amp;H74))</f>
        <v/>
      </c>
      <c r="AF74" s="51" t="str">
        <f aca="false">IF(OR(A74="",AA74=""),"",IF(AND(A74&gt;=Dashboard!$G$4,A74&lt;=Dashboard!$I$4),AA74+ROW()/10^9,""))</f>
        <v/>
      </c>
      <c r="AG74" s="51" t="str">
        <f aca="false">IF(A74="","",WEEKDAY(A74,2))</f>
        <v/>
      </c>
    </row>
    <row r="75" customFormat="false" ht="15" hidden="false" customHeight="false" outlineLevel="0" collapsed="false">
      <c r="A75" s="43"/>
      <c r="B75" s="11" t="str">
        <f aca="false">IF(A75="","",TEXT(A75,"ddd"))</f>
        <v/>
      </c>
      <c r="C75" s="44"/>
      <c r="D75" s="16"/>
      <c r="E75" s="16"/>
      <c r="F75" s="16"/>
      <c r="G75" s="16"/>
      <c r="H75" s="45"/>
      <c r="I75" s="45"/>
      <c r="J75" s="11" t="str">
        <f aca="false">IF(I75="","",LEN(I75))</f>
        <v/>
      </c>
      <c r="K75" s="16"/>
      <c r="L75" s="16"/>
      <c r="M75" s="11" t="str">
        <f aca="false">IF(L75="","",IFERROR(INDEX('Hashtag Bank'!$E$5:$E$104,MATCH(L75,'Hashtag Bank'!$B$5:$B$104,0)),""))</f>
        <v/>
      </c>
      <c r="N75" s="16"/>
      <c r="O75" s="16"/>
      <c r="P75" s="16"/>
      <c r="Q75" s="46" t="str">
        <f aca="true">IF(A75&amp;H75="","",TRIM(IF(AND(A75&lt;&gt;"",A75&lt;TODAY(),O75&lt;&gt;"Published",O75&lt;&gt;"Repurpose"),"⚠ Overdue ","")&amp;IF(AND(J75&lt;&gt;"",D75&lt;&gt;"",IFERROR(J75&gt;INDEX(Setup!$E$9:$E$18,MATCH(D75,Setup!$B$9:$B$18,0)),FALSE())),"✂ Caption too long ","")&amp;IF(AND(M75&lt;&gt;"",D75&lt;&gt;"",IFERROR(M75&gt;INDEX(Setup!$F$9:$F$18,MATCH(D75,Setup!$B$9:$B$18,0)),FALSE())),"# Too many tags","")))</f>
        <v/>
      </c>
      <c r="R75" s="16"/>
      <c r="S75" s="19"/>
      <c r="T75" s="19"/>
      <c r="U75" s="19"/>
      <c r="V75" s="19"/>
      <c r="W75" s="19"/>
      <c r="X75" s="19"/>
      <c r="Y75" s="19"/>
      <c r="Z75" s="47" t="str">
        <f aca="false">IF(COUNT(U75:X75)=0,"",SUM(U75:X75))</f>
        <v/>
      </c>
      <c r="AA75" s="48" t="str">
        <f aca="false">IF(OR(Z75="",N(T75)=0),"",Z75/T75)</f>
        <v/>
      </c>
      <c r="AB75" s="45"/>
      <c r="AC75" s="51" t="str">
        <f aca="false">IF(A75="","",A75+N(C75)+ROW()/10^7)</f>
        <v/>
      </c>
      <c r="AD75" s="51" t="str">
        <f aca="false">IF(A75="","",TEXT(A75,"0")&amp;"|"&amp;COUNTIFS('Content Log'!$A$5:$A$504,A75,'Content Log'!$AC$5:$AC$504,"&lt;="&amp;AC75))</f>
        <v/>
      </c>
      <c r="AE75" s="51" t="str">
        <f aca="false">IF(A75="","",IFERROR(INDEX(Setup!$N$9:$N$14,MATCH(O75,Setup!$M$9:$M$14,0))&amp;" ","")&amp;IF(C75="","",TEXT(C75,"h:mm AM/PM")&amp;" ")&amp;D75&amp;IF(H75="",""," · "&amp;H75))</f>
        <v/>
      </c>
      <c r="AF75" s="51" t="str">
        <f aca="false">IF(OR(A75="",AA75=""),"",IF(AND(A75&gt;=Dashboard!$G$4,A75&lt;=Dashboard!$I$4),AA75+ROW()/10^9,""))</f>
        <v/>
      </c>
      <c r="AG75" s="51" t="str">
        <f aca="false">IF(A75="","",WEEKDAY(A75,2))</f>
        <v/>
      </c>
    </row>
    <row r="76" customFormat="false" ht="15" hidden="false" customHeight="false" outlineLevel="0" collapsed="false">
      <c r="A76" s="43"/>
      <c r="B76" s="11" t="str">
        <f aca="false">IF(A76="","",TEXT(A76,"ddd"))</f>
        <v/>
      </c>
      <c r="C76" s="44"/>
      <c r="D76" s="16"/>
      <c r="E76" s="16"/>
      <c r="F76" s="16"/>
      <c r="G76" s="16"/>
      <c r="H76" s="45"/>
      <c r="I76" s="45"/>
      <c r="J76" s="11" t="str">
        <f aca="false">IF(I76="","",LEN(I76))</f>
        <v/>
      </c>
      <c r="K76" s="16"/>
      <c r="L76" s="16"/>
      <c r="M76" s="11" t="str">
        <f aca="false">IF(L76="","",IFERROR(INDEX('Hashtag Bank'!$E$5:$E$104,MATCH(L76,'Hashtag Bank'!$B$5:$B$104,0)),""))</f>
        <v/>
      </c>
      <c r="N76" s="16"/>
      <c r="O76" s="16"/>
      <c r="P76" s="16"/>
      <c r="Q76" s="46" t="str">
        <f aca="true">IF(A76&amp;H76="","",TRIM(IF(AND(A76&lt;&gt;"",A76&lt;TODAY(),O76&lt;&gt;"Published",O76&lt;&gt;"Repurpose"),"⚠ Overdue ","")&amp;IF(AND(J76&lt;&gt;"",D76&lt;&gt;"",IFERROR(J76&gt;INDEX(Setup!$E$9:$E$18,MATCH(D76,Setup!$B$9:$B$18,0)),FALSE())),"✂ Caption too long ","")&amp;IF(AND(M76&lt;&gt;"",D76&lt;&gt;"",IFERROR(M76&gt;INDEX(Setup!$F$9:$F$18,MATCH(D76,Setup!$B$9:$B$18,0)),FALSE())),"# Too many tags","")))</f>
        <v/>
      </c>
      <c r="R76" s="16"/>
      <c r="S76" s="19"/>
      <c r="T76" s="19"/>
      <c r="U76" s="19"/>
      <c r="V76" s="19"/>
      <c r="W76" s="19"/>
      <c r="X76" s="19"/>
      <c r="Y76" s="19"/>
      <c r="Z76" s="47" t="str">
        <f aca="false">IF(COUNT(U76:X76)=0,"",SUM(U76:X76))</f>
        <v/>
      </c>
      <c r="AA76" s="48" t="str">
        <f aca="false">IF(OR(Z76="",N(T76)=0),"",Z76/T76)</f>
        <v/>
      </c>
      <c r="AB76" s="45"/>
      <c r="AC76" s="51" t="str">
        <f aca="false">IF(A76="","",A76+N(C76)+ROW()/10^7)</f>
        <v/>
      </c>
      <c r="AD76" s="51" t="str">
        <f aca="false">IF(A76="","",TEXT(A76,"0")&amp;"|"&amp;COUNTIFS('Content Log'!$A$5:$A$504,A76,'Content Log'!$AC$5:$AC$504,"&lt;="&amp;AC76))</f>
        <v/>
      </c>
      <c r="AE76" s="51" t="str">
        <f aca="false">IF(A76="","",IFERROR(INDEX(Setup!$N$9:$N$14,MATCH(O76,Setup!$M$9:$M$14,0))&amp;" ","")&amp;IF(C76="","",TEXT(C76,"h:mm AM/PM")&amp;" ")&amp;D76&amp;IF(H76="",""," · "&amp;H76))</f>
        <v/>
      </c>
      <c r="AF76" s="51" t="str">
        <f aca="false">IF(OR(A76="",AA76=""),"",IF(AND(A76&gt;=Dashboard!$G$4,A76&lt;=Dashboard!$I$4),AA76+ROW()/10^9,""))</f>
        <v/>
      </c>
      <c r="AG76" s="51" t="str">
        <f aca="false">IF(A76="","",WEEKDAY(A76,2))</f>
        <v/>
      </c>
    </row>
    <row r="77" customFormat="false" ht="15" hidden="false" customHeight="false" outlineLevel="0" collapsed="false">
      <c r="A77" s="43"/>
      <c r="B77" s="11" t="str">
        <f aca="false">IF(A77="","",TEXT(A77,"ddd"))</f>
        <v/>
      </c>
      <c r="C77" s="44"/>
      <c r="D77" s="16"/>
      <c r="E77" s="16"/>
      <c r="F77" s="16"/>
      <c r="G77" s="16"/>
      <c r="H77" s="45"/>
      <c r="I77" s="45"/>
      <c r="J77" s="11" t="str">
        <f aca="false">IF(I77="","",LEN(I77))</f>
        <v/>
      </c>
      <c r="K77" s="16"/>
      <c r="L77" s="16"/>
      <c r="M77" s="11" t="str">
        <f aca="false">IF(L77="","",IFERROR(INDEX('Hashtag Bank'!$E$5:$E$104,MATCH(L77,'Hashtag Bank'!$B$5:$B$104,0)),""))</f>
        <v/>
      </c>
      <c r="N77" s="16"/>
      <c r="O77" s="16"/>
      <c r="P77" s="16"/>
      <c r="Q77" s="46" t="str">
        <f aca="true">IF(A77&amp;H77="","",TRIM(IF(AND(A77&lt;&gt;"",A77&lt;TODAY(),O77&lt;&gt;"Published",O77&lt;&gt;"Repurpose"),"⚠ Overdue ","")&amp;IF(AND(J77&lt;&gt;"",D77&lt;&gt;"",IFERROR(J77&gt;INDEX(Setup!$E$9:$E$18,MATCH(D77,Setup!$B$9:$B$18,0)),FALSE())),"✂ Caption too long ","")&amp;IF(AND(M77&lt;&gt;"",D77&lt;&gt;"",IFERROR(M77&gt;INDEX(Setup!$F$9:$F$18,MATCH(D77,Setup!$B$9:$B$18,0)),FALSE())),"# Too many tags","")))</f>
        <v/>
      </c>
      <c r="R77" s="16"/>
      <c r="S77" s="19"/>
      <c r="T77" s="19"/>
      <c r="U77" s="19"/>
      <c r="V77" s="19"/>
      <c r="W77" s="19"/>
      <c r="X77" s="19"/>
      <c r="Y77" s="19"/>
      <c r="Z77" s="47" t="str">
        <f aca="false">IF(COUNT(U77:X77)=0,"",SUM(U77:X77))</f>
        <v/>
      </c>
      <c r="AA77" s="48" t="str">
        <f aca="false">IF(OR(Z77="",N(T77)=0),"",Z77/T77)</f>
        <v/>
      </c>
      <c r="AB77" s="45"/>
      <c r="AC77" s="51" t="str">
        <f aca="false">IF(A77="","",A77+N(C77)+ROW()/10^7)</f>
        <v/>
      </c>
      <c r="AD77" s="51" t="str">
        <f aca="false">IF(A77="","",TEXT(A77,"0")&amp;"|"&amp;COUNTIFS('Content Log'!$A$5:$A$504,A77,'Content Log'!$AC$5:$AC$504,"&lt;="&amp;AC77))</f>
        <v/>
      </c>
      <c r="AE77" s="51" t="str">
        <f aca="false">IF(A77="","",IFERROR(INDEX(Setup!$N$9:$N$14,MATCH(O77,Setup!$M$9:$M$14,0))&amp;" ","")&amp;IF(C77="","",TEXT(C77,"h:mm AM/PM")&amp;" ")&amp;D77&amp;IF(H77="",""," · "&amp;H77))</f>
        <v/>
      </c>
      <c r="AF77" s="51" t="str">
        <f aca="false">IF(OR(A77="",AA77=""),"",IF(AND(A77&gt;=Dashboard!$G$4,A77&lt;=Dashboard!$I$4),AA77+ROW()/10^9,""))</f>
        <v/>
      </c>
      <c r="AG77" s="51" t="str">
        <f aca="false">IF(A77="","",WEEKDAY(A77,2))</f>
        <v/>
      </c>
    </row>
    <row r="78" customFormat="false" ht="15" hidden="false" customHeight="false" outlineLevel="0" collapsed="false">
      <c r="A78" s="43"/>
      <c r="B78" s="11" t="str">
        <f aca="false">IF(A78="","",TEXT(A78,"ddd"))</f>
        <v/>
      </c>
      <c r="C78" s="44"/>
      <c r="D78" s="16"/>
      <c r="E78" s="16"/>
      <c r="F78" s="16"/>
      <c r="G78" s="16"/>
      <c r="H78" s="45"/>
      <c r="I78" s="45"/>
      <c r="J78" s="11" t="str">
        <f aca="false">IF(I78="","",LEN(I78))</f>
        <v/>
      </c>
      <c r="K78" s="16"/>
      <c r="L78" s="16"/>
      <c r="M78" s="11" t="str">
        <f aca="false">IF(L78="","",IFERROR(INDEX('Hashtag Bank'!$E$5:$E$104,MATCH(L78,'Hashtag Bank'!$B$5:$B$104,0)),""))</f>
        <v/>
      </c>
      <c r="N78" s="16"/>
      <c r="O78" s="16"/>
      <c r="P78" s="16"/>
      <c r="Q78" s="46" t="str">
        <f aca="true">IF(A78&amp;H78="","",TRIM(IF(AND(A78&lt;&gt;"",A78&lt;TODAY(),O78&lt;&gt;"Published",O78&lt;&gt;"Repurpose"),"⚠ Overdue ","")&amp;IF(AND(J78&lt;&gt;"",D78&lt;&gt;"",IFERROR(J78&gt;INDEX(Setup!$E$9:$E$18,MATCH(D78,Setup!$B$9:$B$18,0)),FALSE())),"✂ Caption too long ","")&amp;IF(AND(M78&lt;&gt;"",D78&lt;&gt;"",IFERROR(M78&gt;INDEX(Setup!$F$9:$F$18,MATCH(D78,Setup!$B$9:$B$18,0)),FALSE())),"# Too many tags","")))</f>
        <v/>
      </c>
      <c r="R78" s="16"/>
      <c r="S78" s="19"/>
      <c r="T78" s="19"/>
      <c r="U78" s="19"/>
      <c r="V78" s="19"/>
      <c r="W78" s="19"/>
      <c r="X78" s="19"/>
      <c r="Y78" s="19"/>
      <c r="Z78" s="47" t="str">
        <f aca="false">IF(COUNT(U78:X78)=0,"",SUM(U78:X78))</f>
        <v/>
      </c>
      <c r="AA78" s="48" t="str">
        <f aca="false">IF(OR(Z78="",N(T78)=0),"",Z78/T78)</f>
        <v/>
      </c>
      <c r="AB78" s="45"/>
      <c r="AC78" s="51" t="str">
        <f aca="false">IF(A78="","",A78+N(C78)+ROW()/10^7)</f>
        <v/>
      </c>
      <c r="AD78" s="51" t="str">
        <f aca="false">IF(A78="","",TEXT(A78,"0")&amp;"|"&amp;COUNTIFS('Content Log'!$A$5:$A$504,A78,'Content Log'!$AC$5:$AC$504,"&lt;="&amp;AC78))</f>
        <v/>
      </c>
      <c r="AE78" s="51" t="str">
        <f aca="false">IF(A78="","",IFERROR(INDEX(Setup!$N$9:$N$14,MATCH(O78,Setup!$M$9:$M$14,0))&amp;" ","")&amp;IF(C78="","",TEXT(C78,"h:mm AM/PM")&amp;" ")&amp;D78&amp;IF(H78="",""," · "&amp;H78))</f>
        <v/>
      </c>
      <c r="AF78" s="51" t="str">
        <f aca="false">IF(OR(A78="",AA78=""),"",IF(AND(A78&gt;=Dashboard!$G$4,A78&lt;=Dashboard!$I$4),AA78+ROW()/10^9,""))</f>
        <v/>
      </c>
      <c r="AG78" s="51" t="str">
        <f aca="false">IF(A78="","",WEEKDAY(A78,2))</f>
        <v/>
      </c>
    </row>
    <row r="79" customFormat="false" ht="15" hidden="false" customHeight="false" outlineLevel="0" collapsed="false">
      <c r="A79" s="43"/>
      <c r="B79" s="11" t="str">
        <f aca="false">IF(A79="","",TEXT(A79,"ddd"))</f>
        <v/>
      </c>
      <c r="C79" s="44"/>
      <c r="D79" s="16"/>
      <c r="E79" s="16"/>
      <c r="F79" s="16"/>
      <c r="G79" s="16"/>
      <c r="H79" s="45"/>
      <c r="I79" s="45"/>
      <c r="J79" s="11" t="str">
        <f aca="false">IF(I79="","",LEN(I79))</f>
        <v/>
      </c>
      <c r="K79" s="16"/>
      <c r="L79" s="16"/>
      <c r="M79" s="11" t="str">
        <f aca="false">IF(L79="","",IFERROR(INDEX('Hashtag Bank'!$E$5:$E$104,MATCH(L79,'Hashtag Bank'!$B$5:$B$104,0)),""))</f>
        <v/>
      </c>
      <c r="N79" s="16"/>
      <c r="O79" s="16"/>
      <c r="P79" s="16"/>
      <c r="Q79" s="46" t="str">
        <f aca="true">IF(A79&amp;H79="","",TRIM(IF(AND(A79&lt;&gt;"",A79&lt;TODAY(),O79&lt;&gt;"Published",O79&lt;&gt;"Repurpose"),"⚠ Overdue ","")&amp;IF(AND(J79&lt;&gt;"",D79&lt;&gt;"",IFERROR(J79&gt;INDEX(Setup!$E$9:$E$18,MATCH(D79,Setup!$B$9:$B$18,0)),FALSE())),"✂ Caption too long ","")&amp;IF(AND(M79&lt;&gt;"",D79&lt;&gt;"",IFERROR(M79&gt;INDEX(Setup!$F$9:$F$18,MATCH(D79,Setup!$B$9:$B$18,0)),FALSE())),"# Too many tags","")))</f>
        <v/>
      </c>
      <c r="R79" s="16"/>
      <c r="S79" s="19"/>
      <c r="T79" s="19"/>
      <c r="U79" s="19"/>
      <c r="V79" s="19"/>
      <c r="W79" s="19"/>
      <c r="X79" s="19"/>
      <c r="Y79" s="19"/>
      <c r="Z79" s="47" t="str">
        <f aca="false">IF(COUNT(U79:X79)=0,"",SUM(U79:X79))</f>
        <v/>
      </c>
      <c r="AA79" s="48" t="str">
        <f aca="false">IF(OR(Z79="",N(T79)=0),"",Z79/T79)</f>
        <v/>
      </c>
      <c r="AB79" s="45"/>
      <c r="AC79" s="51" t="str">
        <f aca="false">IF(A79="","",A79+N(C79)+ROW()/10^7)</f>
        <v/>
      </c>
      <c r="AD79" s="51" t="str">
        <f aca="false">IF(A79="","",TEXT(A79,"0")&amp;"|"&amp;COUNTIFS('Content Log'!$A$5:$A$504,A79,'Content Log'!$AC$5:$AC$504,"&lt;="&amp;AC79))</f>
        <v/>
      </c>
      <c r="AE79" s="51" t="str">
        <f aca="false">IF(A79="","",IFERROR(INDEX(Setup!$N$9:$N$14,MATCH(O79,Setup!$M$9:$M$14,0))&amp;" ","")&amp;IF(C79="","",TEXT(C79,"h:mm AM/PM")&amp;" ")&amp;D79&amp;IF(H79="",""," · "&amp;H79))</f>
        <v/>
      </c>
      <c r="AF79" s="51" t="str">
        <f aca="false">IF(OR(A79="",AA79=""),"",IF(AND(A79&gt;=Dashboard!$G$4,A79&lt;=Dashboard!$I$4),AA79+ROW()/10^9,""))</f>
        <v/>
      </c>
      <c r="AG79" s="51" t="str">
        <f aca="false">IF(A79="","",WEEKDAY(A79,2))</f>
        <v/>
      </c>
    </row>
    <row r="80" customFormat="false" ht="15" hidden="false" customHeight="false" outlineLevel="0" collapsed="false">
      <c r="A80" s="43"/>
      <c r="B80" s="11" t="str">
        <f aca="false">IF(A80="","",TEXT(A80,"ddd"))</f>
        <v/>
      </c>
      <c r="C80" s="44"/>
      <c r="D80" s="16"/>
      <c r="E80" s="16"/>
      <c r="F80" s="16"/>
      <c r="G80" s="16"/>
      <c r="H80" s="45"/>
      <c r="I80" s="45"/>
      <c r="J80" s="11" t="str">
        <f aca="false">IF(I80="","",LEN(I80))</f>
        <v/>
      </c>
      <c r="K80" s="16"/>
      <c r="L80" s="16"/>
      <c r="M80" s="11" t="str">
        <f aca="false">IF(L80="","",IFERROR(INDEX('Hashtag Bank'!$E$5:$E$104,MATCH(L80,'Hashtag Bank'!$B$5:$B$104,0)),""))</f>
        <v/>
      </c>
      <c r="N80" s="16"/>
      <c r="O80" s="16"/>
      <c r="P80" s="16"/>
      <c r="Q80" s="46" t="str">
        <f aca="true">IF(A80&amp;H80="","",TRIM(IF(AND(A80&lt;&gt;"",A80&lt;TODAY(),O80&lt;&gt;"Published",O80&lt;&gt;"Repurpose"),"⚠ Overdue ","")&amp;IF(AND(J80&lt;&gt;"",D80&lt;&gt;"",IFERROR(J80&gt;INDEX(Setup!$E$9:$E$18,MATCH(D80,Setup!$B$9:$B$18,0)),FALSE())),"✂ Caption too long ","")&amp;IF(AND(M80&lt;&gt;"",D80&lt;&gt;"",IFERROR(M80&gt;INDEX(Setup!$F$9:$F$18,MATCH(D80,Setup!$B$9:$B$18,0)),FALSE())),"# Too many tags","")))</f>
        <v/>
      </c>
      <c r="R80" s="16"/>
      <c r="S80" s="19"/>
      <c r="T80" s="19"/>
      <c r="U80" s="19"/>
      <c r="V80" s="19"/>
      <c r="W80" s="19"/>
      <c r="X80" s="19"/>
      <c r="Y80" s="19"/>
      <c r="Z80" s="47" t="str">
        <f aca="false">IF(COUNT(U80:X80)=0,"",SUM(U80:X80))</f>
        <v/>
      </c>
      <c r="AA80" s="48" t="str">
        <f aca="false">IF(OR(Z80="",N(T80)=0),"",Z80/T80)</f>
        <v/>
      </c>
      <c r="AB80" s="45"/>
      <c r="AC80" s="51" t="str">
        <f aca="false">IF(A80="","",A80+N(C80)+ROW()/10^7)</f>
        <v/>
      </c>
      <c r="AD80" s="51" t="str">
        <f aca="false">IF(A80="","",TEXT(A80,"0")&amp;"|"&amp;COUNTIFS('Content Log'!$A$5:$A$504,A80,'Content Log'!$AC$5:$AC$504,"&lt;="&amp;AC80))</f>
        <v/>
      </c>
      <c r="AE80" s="51" t="str">
        <f aca="false">IF(A80="","",IFERROR(INDEX(Setup!$N$9:$N$14,MATCH(O80,Setup!$M$9:$M$14,0))&amp;" ","")&amp;IF(C80="","",TEXT(C80,"h:mm AM/PM")&amp;" ")&amp;D80&amp;IF(H80="",""," · "&amp;H80))</f>
        <v/>
      </c>
      <c r="AF80" s="51" t="str">
        <f aca="false">IF(OR(A80="",AA80=""),"",IF(AND(A80&gt;=Dashboard!$G$4,A80&lt;=Dashboard!$I$4),AA80+ROW()/10^9,""))</f>
        <v/>
      </c>
      <c r="AG80" s="51" t="str">
        <f aca="false">IF(A80="","",WEEKDAY(A80,2))</f>
        <v/>
      </c>
    </row>
    <row r="81" customFormat="false" ht="15" hidden="false" customHeight="false" outlineLevel="0" collapsed="false">
      <c r="A81" s="43"/>
      <c r="B81" s="11" t="str">
        <f aca="false">IF(A81="","",TEXT(A81,"ddd"))</f>
        <v/>
      </c>
      <c r="C81" s="44"/>
      <c r="D81" s="16"/>
      <c r="E81" s="16"/>
      <c r="F81" s="16"/>
      <c r="G81" s="16"/>
      <c r="H81" s="45"/>
      <c r="I81" s="45"/>
      <c r="J81" s="11" t="str">
        <f aca="false">IF(I81="","",LEN(I81))</f>
        <v/>
      </c>
      <c r="K81" s="16"/>
      <c r="L81" s="16"/>
      <c r="M81" s="11" t="str">
        <f aca="false">IF(L81="","",IFERROR(INDEX('Hashtag Bank'!$E$5:$E$104,MATCH(L81,'Hashtag Bank'!$B$5:$B$104,0)),""))</f>
        <v/>
      </c>
      <c r="N81" s="16"/>
      <c r="O81" s="16"/>
      <c r="P81" s="16"/>
      <c r="Q81" s="46" t="str">
        <f aca="true">IF(A81&amp;H81="","",TRIM(IF(AND(A81&lt;&gt;"",A81&lt;TODAY(),O81&lt;&gt;"Published",O81&lt;&gt;"Repurpose"),"⚠ Overdue ","")&amp;IF(AND(J81&lt;&gt;"",D81&lt;&gt;"",IFERROR(J81&gt;INDEX(Setup!$E$9:$E$18,MATCH(D81,Setup!$B$9:$B$18,0)),FALSE())),"✂ Caption too long ","")&amp;IF(AND(M81&lt;&gt;"",D81&lt;&gt;"",IFERROR(M81&gt;INDEX(Setup!$F$9:$F$18,MATCH(D81,Setup!$B$9:$B$18,0)),FALSE())),"# Too many tags","")))</f>
        <v/>
      </c>
      <c r="R81" s="16"/>
      <c r="S81" s="19"/>
      <c r="T81" s="19"/>
      <c r="U81" s="19"/>
      <c r="V81" s="19"/>
      <c r="W81" s="19"/>
      <c r="X81" s="19"/>
      <c r="Y81" s="19"/>
      <c r="Z81" s="47" t="str">
        <f aca="false">IF(COUNT(U81:X81)=0,"",SUM(U81:X81))</f>
        <v/>
      </c>
      <c r="AA81" s="48" t="str">
        <f aca="false">IF(OR(Z81="",N(T81)=0),"",Z81/T81)</f>
        <v/>
      </c>
      <c r="AB81" s="45"/>
      <c r="AC81" s="51" t="str">
        <f aca="false">IF(A81="","",A81+N(C81)+ROW()/10^7)</f>
        <v/>
      </c>
      <c r="AD81" s="51" t="str">
        <f aca="false">IF(A81="","",TEXT(A81,"0")&amp;"|"&amp;COUNTIFS('Content Log'!$A$5:$A$504,A81,'Content Log'!$AC$5:$AC$504,"&lt;="&amp;AC81))</f>
        <v/>
      </c>
      <c r="AE81" s="51" t="str">
        <f aca="false">IF(A81="","",IFERROR(INDEX(Setup!$N$9:$N$14,MATCH(O81,Setup!$M$9:$M$14,0))&amp;" ","")&amp;IF(C81="","",TEXT(C81,"h:mm AM/PM")&amp;" ")&amp;D81&amp;IF(H81="",""," · "&amp;H81))</f>
        <v/>
      </c>
      <c r="AF81" s="51" t="str">
        <f aca="false">IF(OR(A81="",AA81=""),"",IF(AND(A81&gt;=Dashboard!$G$4,A81&lt;=Dashboard!$I$4),AA81+ROW()/10^9,""))</f>
        <v/>
      </c>
      <c r="AG81" s="51" t="str">
        <f aca="false">IF(A81="","",WEEKDAY(A81,2))</f>
        <v/>
      </c>
    </row>
    <row r="82" customFormat="false" ht="15" hidden="false" customHeight="false" outlineLevel="0" collapsed="false">
      <c r="A82" s="43"/>
      <c r="B82" s="11" t="str">
        <f aca="false">IF(A82="","",TEXT(A82,"ddd"))</f>
        <v/>
      </c>
      <c r="C82" s="44"/>
      <c r="D82" s="16"/>
      <c r="E82" s="16"/>
      <c r="F82" s="16"/>
      <c r="G82" s="16"/>
      <c r="H82" s="45"/>
      <c r="I82" s="45"/>
      <c r="J82" s="11" t="str">
        <f aca="false">IF(I82="","",LEN(I82))</f>
        <v/>
      </c>
      <c r="K82" s="16"/>
      <c r="L82" s="16"/>
      <c r="M82" s="11" t="str">
        <f aca="false">IF(L82="","",IFERROR(INDEX('Hashtag Bank'!$E$5:$E$104,MATCH(L82,'Hashtag Bank'!$B$5:$B$104,0)),""))</f>
        <v/>
      </c>
      <c r="N82" s="16"/>
      <c r="O82" s="16"/>
      <c r="P82" s="16"/>
      <c r="Q82" s="46" t="str">
        <f aca="true">IF(A82&amp;H82="","",TRIM(IF(AND(A82&lt;&gt;"",A82&lt;TODAY(),O82&lt;&gt;"Published",O82&lt;&gt;"Repurpose"),"⚠ Overdue ","")&amp;IF(AND(J82&lt;&gt;"",D82&lt;&gt;"",IFERROR(J82&gt;INDEX(Setup!$E$9:$E$18,MATCH(D82,Setup!$B$9:$B$18,0)),FALSE())),"✂ Caption too long ","")&amp;IF(AND(M82&lt;&gt;"",D82&lt;&gt;"",IFERROR(M82&gt;INDEX(Setup!$F$9:$F$18,MATCH(D82,Setup!$B$9:$B$18,0)),FALSE())),"# Too many tags","")))</f>
        <v/>
      </c>
      <c r="R82" s="16"/>
      <c r="S82" s="19"/>
      <c r="T82" s="19"/>
      <c r="U82" s="19"/>
      <c r="V82" s="19"/>
      <c r="W82" s="19"/>
      <c r="X82" s="19"/>
      <c r="Y82" s="19"/>
      <c r="Z82" s="47" t="str">
        <f aca="false">IF(COUNT(U82:X82)=0,"",SUM(U82:X82))</f>
        <v/>
      </c>
      <c r="AA82" s="48" t="str">
        <f aca="false">IF(OR(Z82="",N(T82)=0),"",Z82/T82)</f>
        <v/>
      </c>
      <c r="AB82" s="45"/>
      <c r="AC82" s="51" t="str">
        <f aca="false">IF(A82="","",A82+N(C82)+ROW()/10^7)</f>
        <v/>
      </c>
      <c r="AD82" s="51" t="str">
        <f aca="false">IF(A82="","",TEXT(A82,"0")&amp;"|"&amp;COUNTIFS('Content Log'!$A$5:$A$504,A82,'Content Log'!$AC$5:$AC$504,"&lt;="&amp;AC82))</f>
        <v/>
      </c>
      <c r="AE82" s="51" t="str">
        <f aca="false">IF(A82="","",IFERROR(INDEX(Setup!$N$9:$N$14,MATCH(O82,Setup!$M$9:$M$14,0))&amp;" ","")&amp;IF(C82="","",TEXT(C82,"h:mm AM/PM")&amp;" ")&amp;D82&amp;IF(H82="",""," · "&amp;H82))</f>
        <v/>
      </c>
      <c r="AF82" s="51" t="str">
        <f aca="false">IF(OR(A82="",AA82=""),"",IF(AND(A82&gt;=Dashboard!$G$4,A82&lt;=Dashboard!$I$4),AA82+ROW()/10^9,""))</f>
        <v/>
      </c>
      <c r="AG82" s="51" t="str">
        <f aca="false">IF(A82="","",WEEKDAY(A82,2))</f>
        <v/>
      </c>
    </row>
    <row r="83" customFormat="false" ht="15" hidden="false" customHeight="false" outlineLevel="0" collapsed="false">
      <c r="A83" s="43"/>
      <c r="B83" s="11" t="str">
        <f aca="false">IF(A83="","",TEXT(A83,"ddd"))</f>
        <v/>
      </c>
      <c r="C83" s="44"/>
      <c r="D83" s="16"/>
      <c r="E83" s="16"/>
      <c r="F83" s="16"/>
      <c r="G83" s="16"/>
      <c r="H83" s="45"/>
      <c r="I83" s="45"/>
      <c r="J83" s="11" t="str">
        <f aca="false">IF(I83="","",LEN(I83))</f>
        <v/>
      </c>
      <c r="K83" s="16"/>
      <c r="L83" s="16"/>
      <c r="M83" s="11" t="str">
        <f aca="false">IF(L83="","",IFERROR(INDEX('Hashtag Bank'!$E$5:$E$104,MATCH(L83,'Hashtag Bank'!$B$5:$B$104,0)),""))</f>
        <v/>
      </c>
      <c r="N83" s="16"/>
      <c r="O83" s="16"/>
      <c r="P83" s="16"/>
      <c r="Q83" s="46" t="str">
        <f aca="true">IF(A83&amp;H83="","",TRIM(IF(AND(A83&lt;&gt;"",A83&lt;TODAY(),O83&lt;&gt;"Published",O83&lt;&gt;"Repurpose"),"⚠ Overdue ","")&amp;IF(AND(J83&lt;&gt;"",D83&lt;&gt;"",IFERROR(J83&gt;INDEX(Setup!$E$9:$E$18,MATCH(D83,Setup!$B$9:$B$18,0)),FALSE())),"✂ Caption too long ","")&amp;IF(AND(M83&lt;&gt;"",D83&lt;&gt;"",IFERROR(M83&gt;INDEX(Setup!$F$9:$F$18,MATCH(D83,Setup!$B$9:$B$18,0)),FALSE())),"# Too many tags","")))</f>
        <v/>
      </c>
      <c r="R83" s="16"/>
      <c r="S83" s="19"/>
      <c r="T83" s="19"/>
      <c r="U83" s="19"/>
      <c r="V83" s="19"/>
      <c r="W83" s="19"/>
      <c r="X83" s="19"/>
      <c r="Y83" s="19"/>
      <c r="Z83" s="47" t="str">
        <f aca="false">IF(COUNT(U83:X83)=0,"",SUM(U83:X83))</f>
        <v/>
      </c>
      <c r="AA83" s="48" t="str">
        <f aca="false">IF(OR(Z83="",N(T83)=0),"",Z83/T83)</f>
        <v/>
      </c>
      <c r="AB83" s="45"/>
      <c r="AC83" s="51" t="str">
        <f aca="false">IF(A83="","",A83+N(C83)+ROW()/10^7)</f>
        <v/>
      </c>
      <c r="AD83" s="51" t="str">
        <f aca="false">IF(A83="","",TEXT(A83,"0")&amp;"|"&amp;COUNTIFS('Content Log'!$A$5:$A$504,A83,'Content Log'!$AC$5:$AC$504,"&lt;="&amp;AC83))</f>
        <v/>
      </c>
      <c r="AE83" s="51" t="str">
        <f aca="false">IF(A83="","",IFERROR(INDEX(Setup!$N$9:$N$14,MATCH(O83,Setup!$M$9:$M$14,0))&amp;" ","")&amp;IF(C83="","",TEXT(C83,"h:mm AM/PM")&amp;" ")&amp;D83&amp;IF(H83="",""," · "&amp;H83))</f>
        <v/>
      </c>
      <c r="AF83" s="51" t="str">
        <f aca="false">IF(OR(A83="",AA83=""),"",IF(AND(A83&gt;=Dashboard!$G$4,A83&lt;=Dashboard!$I$4),AA83+ROW()/10^9,""))</f>
        <v/>
      </c>
      <c r="AG83" s="51" t="str">
        <f aca="false">IF(A83="","",WEEKDAY(A83,2))</f>
        <v/>
      </c>
    </row>
    <row r="84" customFormat="false" ht="15" hidden="false" customHeight="false" outlineLevel="0" collapsed="false">
      <c r="A84" s="43"/>
      <c r="B84" s="11" t="str">
        <f aca="false">IF(A84="","",TEXT(A84,"ddd"))</f>
        <v/>
      </c>
      <c r="C84" s="44"/>
      <c r="D84" s="16"/>
      <c r="E84" s="16"/>
      <c r="F84" s="16"/>
      <c r="G84" s="16"/>
      <c r="H84" s="45"/>
      <c r="I84" s="45"/>
      <c r="J84" s="11" t="str">
        <f aca="false">IF(I84="","",LEN(I84))</f>
        <v/>
      </c>
      <c r="K84" s="16"/>
      <c r="L84" s="16"/>
      <c r="M84" s="11" t="str">
        <f aca="false">IF(L84="","",IFERROR(INDEX('Hashtag Bank'!$E$5:$E$104,MATCH(L84,'Hashtag Bank'!$B$5:$B$104,0)),""))</f>
        <v/>
      </c>
      <c r="N84" s="16"/>
      <c r="O84" s="16"/>
      <c r="P84" s="16"/>
      <c r="Q84" s="46" t="str">
        <f aca="true">IF(A84&amp;H84="","",TRIM(IF(AND(A84&lt;&gt;"",A84&lt;TODAY(),O84&lt;&gt;"Published",O84&lt;&gt;"Repurpose"),"⚠ Overdue ","")&amp;IF(AND(J84&lt;&gt;"",D84&lt;&gt;"",IFERROR(J84&gt;INDEX(Setup!$E$9:$E$18,MATCH(D84,Setup!$B$9:$B$18,0)),FALSE())),"✂ Caption too long ","")&amp;IF(AND(M84&lt;&gt;"",D84&lt;&gt;"",IFERROR(M84&gt;INDEX(Setup!$F$9:$F$18,MATCH(D84,Setup!$B$9:$B$18,0)),FALSE())),"# Too many tags","")))</f>
        <v/>
      </c>
      <c r="R84" s="16"/>
      <c r="S84" s="19"/>
      <c r="T84" s="19"/>
      <c r="U84" s="19"/>
      <c r="V84" s="19"/>
      <c r="W84" s="19"/>
      <c r="X84" s="19"/>
      <c r="Y84" s="19"/>
      <c r="Z84" s="47" t="str">
        <f aca="false">IF(COUNT(U84:X84)=0,"",SUM(U84:X84))</f>
        <v/>
      </c>
      <c r="AA84" s="48" t="str">
        <f aca="false">IF(OR(Z84="",N(T84)=0),"",Z84/T84)</f>
        <v/>
      </c>
      <c r="AB84" s="45"/>
      <c r="AC84" s="51" t="str">
        <f aca="false">IF(A84="","",A84+N(C84)+ROW()/10^7)</f>
        <v/>
      </c>
      <c r="AD84" s="51" t="str">
        <f aca="false">IF(A84="","",TEXT(A84,"0")&amp;"|"&amp;COUNTIFS('Content Log'!$A$5:$A$504,A84,'Content Log'!$AC$5:$AC$504,"&lt;="&amp;AC84))</f>
        <v/>
      </c>
      <c r="AE84" s="51" t="str">
        <f aca="false">IF(A84="","",IFERROR(INDEX(Setup!$N$9:$N$14,MATCH(O84,Setup!$M$9:$M$14,0))&amp;" ","")&amp;IF(C84="","",TEXT(C84,"h:mm AM/PM")&amp;" ")&amp;D84&amp;IF(H84="",""," · "&amp;H84))</f>
        <v/>
      </c>
      <c r="AF84" s="51" t="str">
        <f aca="false">IF(OR(A84="",AA84=""),"",IF(AND(A84&gt;=Dashboard!$G$4,A84&lt;=Dashboard!$I$4),AA84+ROW()/10^9,""))</f>
        <v/>
      </c>
      <c r="AG84" s="51" t="str">
        <f aca="false">IF(A84="","",WEEKDAY(A84,2))</f>
        <v/>
      </c>
    </row>
    <row r="85" customFormat="false" ht="15" hidden="false" customHeight="false" outlineLevel="0" collapsed="false">
      <c r="A85" s="43"/>
      <c r="B85" s="11" t="str">
        <f aca="false">IF(A85="","",TEXT(A85,"ddd"))</f>
        <v/>
      </c>
      <c r="C85" s="44"/>
      <c r="D85" s="16"/>
      <c r="E85" s="16"/>
      <c r="F85" s="16"/>
      <c r="G85" s="16"/>
      <c r="H85" s="45"/>
      <c r="I85" s="45"/>
      <c r="J85" s="11" t="str">
        <f aca="false">IF(I85="","",LEN(I85))</f>
        <v/>
      </c>
      <c r="K85" s="16"/>
      <c r="L85" s="16"/>
      <c r="M85" s="11" t="str">
        <f aca="false">IF(L85="","",IFERROR(INDEX('Hashtag Bank'!$E$5:$E$104,MATCH(L85,'Hashtag Bank'!$B$5:$B$104,0)),""))</f>
        <v/>
      </c>
      <c r="N85" s="16"/>
      <c r="O85" s="16"/>
      <c r="P85" s="16"/>
      <c r="Q85" s="46" t="str">
        <f aca="true">IF(A85&amp;H85="","",TRIM(IF(AND(A85&lt;&gt;"",A85&lt;TODAY(),O85&lt;&gt;"Published",O85&lt;&gt;"Repurpose"),"⚠ Overdue ","")&amp;IF(AND(J85&lt;&gt;"",D85&lt;&gt;"",IFERROR(J85&gt;INDEX(Setup!$E$9:$E$18,MATCH(D85,Setup!$B$9:$B$18,0)),FALSE())),"✂ Caption too long ","")&amp;IF(AND(M85&lt;&gt;"",D85&lt;&gt;"",IFERROR(M85&gt;INDEX(Setup!$F$9:$F$18,MATCH(D85,Setup!$B$9:$B$18,0)),FALSE())),"# Too many tags","")))</f>
        <v/>
      </c>
      <c r="R85" s="16"/>
      <c r="S85" s="19"/>
      <c r="T85" s="19"/>
      <c r="U85" s="19"/>
      <c r="V85" s="19"/>
      <c r="W85" s="19"/>
      <c r="X85" s="19"/>
      <c r="Y85" s="19"/>
      <c r="Z85" s="47" t="str">
        <f aca="false">IF(COUNT(U85:X85)=0,"",SUM(U85:X85))</f>
        <v/>
      </c>
      <c r="AA85" s="48" t="str">
        <f aca="false">IF(OR(Z85="",N(T85)=0),"",Z85/T85)</f>
        <v/>
      </c>
      <c r="AB85" s="45"/>
      <c r="AC85" s="51" t="str">
        <f aca="false">IF(A85="","",A85+N(C85)+ROW()/10^7)</f>
        <v/>
      </c>
      <c r="AD85" s="51" t="str">
        <f aca="false">IF(A85="","",TEXT(A85,"0")&amp;"|"&amp;COUNTIFS('Content Log'!$A$5:$A$504,A85,'Content Log'!$AC$5:$AC$504,"&lt;="&amp;AC85))</f>
        <v/>
      </c>
      <c r="AE85" s="51" t="str">
        <f aca="false">IF(A85="","",IFERROR(INDEX(Setup!$N$9:$N$14,MATCH(O85,Setup!$M$9:$M$14,0))&amp;" ","")&amp;IF(C85="","",TEXT(C85,"h:mm AM/PM")&amp;" ")&amp;D85&amp;IF(H85="",""," · "&amp;H85))</f>
        <v/>
      </c>
      <c r="AF85" s="51" t="str">
        <f aca="false">IF(OR(A85="",AA85=""),"",IF(AND(A85&gt;=Dashboard!$G$4,A85&lt;=Dashboard!$I$4),AA85+ROW()/10^9,""))</f>
        <v/>
      </c>
      <c r="AG85" s="51" t="str">
        <f aca="false">IF(A85="","",WEEKDAY(A85,2))</f>
        <v/>
      </c>
    </row>
    <row r="86" customFormat="false" ht="15" hidden="false" customHeight="false" outlineLevel="0" collapsed="false">
      <c r="A86" s="43"/>
      <c r="B86" s="11" t="str">
        <f aca="false">IF(A86="","",TEXT(A86,"ddd"))</f>
        <v/>
      </c>
      <c r="C86" s="44"/>
      <c r="D86" s="16"/>
      <c r="E86" s="16"/>
      <c r="F86" s="16"/>
      <c r="G86" s="16"/>
      <c r="H86" s="45"/>
      <c r="I86" s="45"/>
      <c r="J86" s="11" t="str">
        <f aca="false">IF(I86="","",LEN(I86))</f>
        <v/>
      </c>
      <c r="K86" s="16"/>
      <c r="L86" s="16"/>
      <c r="M86" s="11" t="str">
        <f aca="false">IF(L86="","",IFERROR(INDEX('Hashtag Bank'!$E$5:$E$104,MATCH(L86,'Hashtag Bank'!$B$5:$B$104,0)),""))</f>
        <v/>
      </c>
      <c r="N86" s="16"/>
      <c r="O86" s="16"/>
      <c r="P86" s="16"/>
      <c r="Q86" s="46" t="str">
        <f aca="true">IF(A86&amp;H86="","",TRIM(IF(AND(A86&lt;&gt;"",A86&lt;TODAY(),O86&lt;&gt;"Published",O86&lt;&gt;"Repurpose"),"⚠ Overdue ","")&amp;IF(AND(J86&lt;&gt;"",D86&lt;&gt;"",IFERROR(J86&gt;INDEX(Setup!$E$9:$E$18,MATCH(D86,Setup!$B$9:$B$18,0)),FALSE())),"✂ Caption too long ","")&amp;IF(AND(M86&lt;&gt;"",D86&lt;&gt;"",IFERROR(M86&gt;INDEX(Setup!$F$9:$F$18,MATCH(D86,Setup!$B$9:$B$18,0)),FALSE())),"# Too many tags","")))</f>
        <v/>
      </c>
      <c r="R86" s="16"/>
      <c r="S86" s="19"/>
      <c r="T86" s="19"/>
      <c r="U86" s="19"/>
      <c r="V86" s="19"/>
      <c r="W86" s="19"/>
      <c r="X86" s="19"/>
      <c r="Y86" s="19"/>
      <c r="Z86" s="47" t="str">
        <f aca="false">IF(COUNT(U86:X86)=0,"",SUM(U86:X86))</f>
        <v/>
      </c>
      <c r="AA86" s="48" t="str">
        <f aca="false">IF(OR(Z86="",N(T86)=0),"",Z86/T86)</f>
        <v/>
      </c>
      <c r="AB86" s="45"/>
      <c r="AC86" s="51" t="str">
        <f aca="false">IF(A86="","",A86+N(C86)+ROW()/10^7)</f>
        <v/>
      </c>
      <c r="AD86" s="51" t="str">
        <f aca="false">IF(A86="","",TEXT(A86,"0")&amp;"|"&amp;COUNTIFS('Content Log'!$A$5:$A$504,A86,'Content Log'!$AC$5:$AC$504,"&lt;="&amp;AC86))</f>
        <v/>
      </c>
      <c r="AE86" s="51" t="str">
        <f aca="false">IF(A86="","",IFERROR(INDEX(Setup!$N$9:$N$14,MATCH(O86,Setup!$M$9:$M$14,0))&amp;" ","")&amp;IF(C86="","",TEXT(C86,"h:mm AM/PM")&amp;" ")&amp;D86&amp;IF(H86="",""," · "&amp;H86))</f>
        <v/>
      </c>
      <c r="AF86" s="51" t="str">
        <f aca="false">IF(OR(A86="",AA86=""),"",IF(AND(A86&gt;=Dashboard!$G$4,A86&lt;=Dashboard!$I$4),AA86+ROW()/10^9,""))</f>
        <v/>
      </c>
      <c r="AG86" s="51" t="str">
        <f aca="false">IF(A86="","",WEEKDAY(A86,2))</f>
        <v/>
      </c>
    </row>
    <row r="87" customFormat="false" ht="15" hidden="false" customHeight="false" outlineLevel="0" collapsed="false">
      <c r="A87" s="43"/>
      <c r="B87" s="11" t="str">
        <f aca="false">IF(A87="","",TEXT(A87,"ddd"))</f>
        <v/>
      </c>
      <c r="C87" s="44"/>
      <c r="D87" s="16"/>
      <c r="E87" s="16"/>
      <c r="F87" s="16"/>
      <c r="G87" s="16"/>
      <c r="H87" s="45"/>
      <c r="I87" s="45"/>
      <c r="J87" s="11" t="str">
        <f aca="false">IF(I87="","",LEN(I87))</f>
        <v/>
      </c>
      <c r="K87" s="16"/>
      <c r="L87" s="16"/>
      <c r="M87" s="11" t="str">
        <f aca="false">IF(L87="","",IFERROR(INDEX('Hashtag Bank'!$E$5:$E$104,MATCH(L87,'Hashtag Bank'!$B$5:$B$104,0)),""))</f>
        <v/>
      </c>
      <c r="N87" s="16"/>
      <c r="O87" s="16"/>
      <c r="P87" s="16"/>
      <c r="Q87" s="46" t="str">
        <f aca="true">IF(A87&amp;H87="","",TRIM(IF(AND(A87&lt;&gt;"",A87&lt;TODAY(),O87&lt;&gt;"Published",O87&lt;&gt;"Repurpose"),"⚠ Overdue ","")&amp;IF(AND(J87&lt;&gt;"",D87&lt;&gt;"",IFERROR(J87&gt;INDEX(Setup!$E$9:$E$18,MATCH(D87,Setup!$B$9:$B$18,0)),FALSE())),"✂ Caption too long ","")&amp;IF(AND(M87&lt;&gt;"",D87&lt;&gt;"",IFERROR(M87&gt;INDEX(Setup!$F$9:$F$18,MATCH(D87,Setup!$B$9:$B$18,0)),FALSE())),"# Too many tags","")))</f>
        <v/>
      </c>
      <c r="R87" s="16"/>
      <c r="S87" s="19"/>
      <c r="T87" s="19"/>
      <c r="U87" s="19"/>
      <c r="V87" s="19"/>
      <c r="W87" s="19"/>
      <c r="X87" s="19"/>
      <c r="Y87" s="19"/>
      <c r="Z87" s="47" t="str">
        <f aca="false">IF(COUNT(U87:X87)=0,"",SUM(U87:X87))</f>
        <v/>
      </c>
      <c r="AA87" s="48" t="str">
        <f aca="false">IF(OR(Z87="",N(T87)=0),"",Z87/T87)</f>
        <v/>
      </c>
      <c r="AB87" s="45"/>
      <c r="AC87" s="51" t="str">
        <f aca="false">IF(A87="","",A87+N(C87)+ROW()/10^7)</f>
        <v/>
      </c>
      <c r="AD87" s="51" t="str">
        <f aca="false">IF(A87="","",TEXT(A87,"0")&amp;"|"&amp;COUNTIFS('Content Log'!$A$5:$A$504,A87,'Content Log'!$AC$5:$AC$504,"&lt;="&amp;AC87))</f>
        <v/>
      </c>
      <c r="AE87" s="51" t="str">
        <f aca="false">IF(A87="","",IFERROR(INDEX(Setup!$N$9:$N$14,MATCH(O87,Setup!$M$9:$M$14,0))&amp;" ","")&amp;IF(C87="","",TEXT(C87,"h:mm AM/PM")&amp;" ")&amp;D87&amp;IF(H87="",""," · "&amp;H87))</f>
        <v/>
      </c>
      <c r="AF87" s="51" t="str">
        <f aca="false">IF(OR(A87="",AA87=""),"",IF(AND(A87&gt;=Dashboard!$G$4,A87&lt;=Dashboard!$I$4),AA87+ROW()/10^9,""))</f>
        <v/>
      </c>
      <c r="AG87" s="51" t="str">
        <f aca="false">IF(A87="","",WEEKDAY(A87,2))</f>
        <v/>
      </c>
    </row>
    <row r="88" customFormat="false" ht="15" hidden="false" customHeight="false" outlineLevel="0" collapsed="false">
      <c r="A88" s="43"/>
      <c r="B88" s="11" t="str">
        <f aca="false">IF(A88="","",TEXT(A88,"ddd"))</f>
        <v/>
      </c>
      <c r="C88" s="44"/>
      <c r="D88" s="16"/>
      <c r="E88" s="16"/>
      <c r="F88" s="16"/>
      <c r="G88" s="16"/>
      <c r="H88" s="45"/>
      <c r="I88" s="45"/>
      <c r="J88" s="11" t="str">
        <f aca="false">IF(I88="","",LEN(I88))</f>
        <v/>
      </c>
      <c r="K88" s="16"/>
      <c r="L88" s="16"/>
      <c r="M88" s="11" t="str">
        <f aca="false">IF(L88="","",IFERROR(INDEX('Hashtag Bank'!$E$5:$E$104,MATCH(L88,'Hashtag Bank'!$B$5:$B$104,0)),""))</f>
        <v/>
      </c>
      <c r="N88" s="16"/>
      <c r="O88" s="16"/>
      <c r="P88" s="16"/>
      <c r="Q88" s="46" t="str">
        <f aca="true">IF(A88&amp;H88="","",TRIM(IF(AND(A88&lt;&gt;"",A88&lt;TODAY(),O88&lt;&gt;"Published",O88&lt;&gt;"Repurpose"),"⚠ Overdue ","")&amp;IF(AND(J88&lt;&gt;"",D88&lt;&gt;"",IFERROR(J88&gt;INDEX(Setup!$E$9:$E$18,MATCH(D88,Setup!$B$9:$B$18,0)),FALSE())),"✂ Caption too long ","")&amp;IF(AND(M88&lt;&gt;"",D88&lt;&gt;"",IFERROR(M88&gt;INDEX(Setup!$F$9:$F$18,MATCH(D88,Setup!$B$9:$B$18,0)),FALSE())),"# Too many tags","")))</f>
        <v/>
      </c>
      <c r="R88" s="16"/>
      <c r="S88" s="19"/>
      <c r="T88" s="19"/>
      <c r="U88" s="19"/>
      <c r="V88" s="19"/>
      <c r="W88" s="19"/>
      <c r="X88" s="19"/>
      <c r="Y88" s="19"/>
      <c r="Z88" s="47" t="str">
        <f aca="false">IF(COUNT(U88:X88)=0,"",SUM(U88:X88))</f>
        <v/>
      </c>
      <c r="AA88" s="48" t="str">
        <f aca="false">IF(OR(Z88="",N(T88)=0),"",Z88/T88)</f>
        <v/>
      </c>
      <c r="AB88" s="45"/>
      <c r="AC88" s="51" t="str">
        <f aca="false">IF(A88="","",A88+N(C88)+ROW()/10^7)</f>
        <v/>
      </c>
      <c r="AD88" s="51" t="str">
        <f aca="false">IF(A88="","",TEXT(A88,"0")&amp;"|"&amp;COUNTIFS('Content Log'!$A$5:$A$504,A88,'Content Log'!$AC$5:$AC$504,"&lt;="&amp;AC88))</f>
        <v/>
      </c>
      <c r="AE88" s="51" t="str">
        <f aca="false">IF(A88="","",IFERROR(INDEX(Setup!$N$9:$N$14,MATCH(O88,Setup!$M$9:$M$14,0))&amp;" ","")&amp;IF(C88="","",TEXT(C88,"h:mm AM/PM")&amp;" ")&amp;D88&amp;IF(H88="",""," · "&amp;H88))</f>
        <v/>
      </c>
      <c r="AF88" s="51" t="str">
        <f aca="false">IF(OR(A88="",AA88=""),"",IF(AND(A88&gt;=Dashboard!$G$4,A88&lt;=Dashboard!$I$4),AA88+ROW()/10^9,""))</f>
        <v/>
      </c>
      <c r="AG88" s="51" t="str">
        <f aca="false">IF(A88="","",WEEKDAY(A88,2))</f>
        <v/>
      </c>
    </row>
    <row r="89" customFormat="false" ht="15" hidden="false" customHeight="false" outlineLevel="0" collapsed="false">
      <c r="A89" s="43"/>
      <c r="B89" s="11" t="str">
        <f aca="false">IF(A89="","",TEXT(A89,"ddd"))</f>
        <v/>
      </c>
      <c r="C89" s="44"/>
      <c r="D89" s="16"/>
      <c r="E89" s="16"/>
      <c r="F89" s="16"/>
      <c r="G89" s="16"/>
      <c r="H89" s="45"/>
      <c r="I89" s="45"/>
      <c r="J89" s="11" t="str">
        <f aca="false">IF(I89="","",LEN(I89))</f>
        <v/>
      </c>
      <c r="K89" s="16"/>
      <c r="L89" s="16"/>
      <c r="M89" s="11" t="str">
        <f aca="false">IF(L89="","",IFERROR(INDEX('Hashtag Bank'!$E$5:$E$104,MATCH(L89,'Hashtag Bank'!$B$5:$B$104,0)),""))</f>
        <v/>
      </c>
      <c r="N89" s="16"/>
      <c r="O89" s="16"/>
      <c r="P89" s="16"/>
      <c r="Q89" s="46" t="str">
        <f aca="true">IF(A89&amp;H89="","",TRIM(IF(AND(A89&lt;&gt;"",A89&lt;TODAY(),O89&lt;&gt;"Published",O89&lt;&gt;"Repurpose"),"⚠ Overdue ","")&amp;IF(AND(J89&lt;&gt;"",D89&lt;&gt;"",IFERROR(J89&gt;INDEX(Setup!$E$9:$E$18,MATCH(D89,Setup!$B$9:$B$18,0)),FALSE())),"✂ Caption too long ","")&amp;IF(AND(M89&lt;&gt;"",D89&lt;&gt;"",IFERROR(M89&gt;INDEX(Setup!$F$9:$F$18,MATCH(D89,Setup!$B$9:$B$18,0)),FALSE())),"# Too many tags","")))</f>
        <v/>
      </c>
      <c r="R89" s="16"/>
      <c r="S89" s="19"/>
      <c r="T89" s="19"/>
      <c r="U89" s="19"/>
      <c r="V89" s="19"/>
      <c r="W89" s="19"/>
      <c r="X89" s="19"/>
      <c r="Y89" s="19"/>
      <c r="Z89" s="47" t="str">
        <f aca="false">IF(COUNT(U89:X89)=0,"",SUM(U89:X89))</f>
        <v/>
      </c>
      <c r="AA89" s="48" t="str">
        <f aca="false">IF(OR(Z89="",N(T89)=0),"",Z89/T89)</f>
        <v/>
      </c>
      <c r="AB89" s="45"/>
      <c r="AC89" s="51" t="str">
        <f aca="false">IF(A89="","",A89+N(C89)+ROW()/10^7)</f>
        <v/>
      </c>
      <c r="AD89" s="51" t="str">
        <f aca="false">IF(A89="","",TEXT(A89,"0")&amp;"|"&amp;COUNTIFS('Content Log'!$A$5:$A$504,A89,'Content Log'!$AC$5:$AC$504,"&lt;="&amp;AC89))</f>
        <v/>
      </c>
      <c r="AE89" s="51" t="str">
        <f aca="false">IF(A89="","",IFERROR(INDEX(Setup!$N$9:$N$14,MATCH(O89,Setup!$M$9:$M$14,0))&amp;" ","")&amp;IF(C89="","",TEXT(C89,"h:mm AM/PM")&amp;" ")&amp;D89&amp;IF(H89="",""," · "&amp;H89))</f>
        <v/>
      </c>
      <c r="AF89" s="51" t="str">
        <f aca="false">IF(OR(A89="",AA89=""),"",IF(AND(A89&gt;=Dashboard!$G$4,A89&lt;=Dashboard!$I$4),AA89+ROW()/10^9,""))</f>
        <v/>
      </c>
      <c r="AG89" s="51" t="str">
        <f aca="false">IF(A89="","",WEEKDAY(A89,2))</f>
        <v/>
      </c>
    </row>
    <row r="90" customFormat="false" ht="15" hidden="false" customHeight="false" outlineLevel="0" collapsed="false">
      <c r="A90" s="43"/>
      <c r="B90" s="11" t="str">
        <f aca="false">IF(A90="","",TEXT(A90,"ddd"))</f>
        <v/>
      </c>
      <c r="C90" s="44"/>
      <c r="D90" s="16"/>
      <c r="E90" s="16"/>
      <c r="F90" s="16"/>
      <c r="G90" s="16"/>
      <c r="H90" s="45"/>
      <c r="I90" s="45"/>
      <c r="J90" s="11" t="str">
        <f aca="false">IF(I90="","",LEN(I90))</f>
        <v/>
      </c>
      <c r="K90" s="16"/>
      <c r="L90" s="16"/>
      <c r="M90" s="11" t="str">
        <f aca="false">IF(L90="","",IFERROR(INDEX('Hashtag Bank'!$E$5:$E$104,MATCH(L90,'Hashtag Bank'!$B$5:$B$104,0)),""))</f>
        <v/>
      </c>
      <c r="N90" s="16"/>
      <c r="O90" s="16"/>
      <c r="P90" s="16"/>
      <c r="Q90" s="46" t="str">
        <f aca="true">IF(A90&amp;H90="","",TRIM(IF(AND(A90&lt;&gt;"",A90&lt;TODAY(),O90&lt;&gt;"Published",O90&lt;&gt;"Repurpose"),"⚠ Overdue ","")&amp;IF(AND(J90&lt;&gt;"",D90&lt;&gt;"",IFERROR(J90&gt;INDEX(Setup!$E$9:$E$18,MATCH(D90,Setup!$B$9:$B$18,0)),FALSE())),"✂ Caption too long ","")&amp;IF(AND(M90&lt;&gt;"",D90&lt;&gt;"",IFERROR(M90&gt;INDEX(Setup!$F$9:$F$18,MATCH(D90,Setup!$B$9:$B$18,0)),FALSE())),"# Too many tags","")))</f>
        <v/>
      </c>
      <c r="R90" s="16"/>
      <c r="S90" s="19"/>
      <c r="T90" s="19"/>
      <c r="U90" s="19"/>
      <c r="V90" s="19"/>
      <c r="W90" s="19"/>
      <c r="X90" s="19"/>
      <c r="Y90" s="19"/>
      <c r="Z90" s="47" t="str">
        <f aca="false">IF(COUNT(U90:X90)=0,"",SUM(U90:X90))</f>
        <v/>
      </c>
      <c r="AA90" s="48" t="str">
        <f aca="false">IF(OR(Z90="",N(T90)=0),"",Z90/T90)</f>
        <v/>
      </c>
      <c r="AB90" s="45"/>
      <c r="AC90" s="51" t="str">
        <f aca="false">IF(A90="","",A90+N(C90)+ROW()/10^7)</f>
        <v/>
      </c>
      <c r="AD90" s="51" t="str">
        <f aca="false">IF(A90="","",TEXT(A90,"0")&amp;"|"&amp;COUNTIFS('Content Log'!$A$5:$A$504,A90,'Content Log'!$AC$5:$AC$504,"&lt;="&amp;AC90))</f>
        <v/>
      </c>
      <c r="AE90" s="51" t="str">
        <f aca="false">IF(A90="","",IFERROR(INDEX(Setup!$N$9:$N$14,MATCH(O90,Setup!$M$9:$M$14,0))&amp;" ","")&amp;IF(C90="","",TEXT(C90,"h:mm AM/PM")&amp;" ")&amp;D90&amp;IF(H90="",""," · "&amp;H90))</f>
        <v/>
      </c>
      <c r="AF90" s="51" t="str">
        <f aca="false">IF(OR(A90="",AA90=""),"",IF(AND(A90&gt;=Dashboard!$G$4,A90&lt;=Dashboard!$I$4),AA90+ROW()/10^9,""))</f>
        <v/>
      </c>
      <c r="AG90" s="51" t="str">
        <f aca="false">IF(A90="","",WEEKDAY(A90,2))</f>
        <v/>
      </c>
    </row>
    <row r="91" customFormat="false" ht="15" hidden="false" customHeight="false" outlineLevel="0" collapsed="false">
      <c r="A91" s="43"/>
      <c r="B91" s="11" t="str">
        <f aca="false">IF(A91="","",TEXT(A91,"ddd"))</f>
        <v/>
      </c>
      <c r="C91" s="44"/>
      <c r="D91" s="16"/>
      <c r="E91" s="16"/>
      <c r="F91" s="16"/>
      <c r="G91" s="16"/>
      <c r="H91" s="45"/>
      <c r="I91" s="45"/>
      <c r="J91" s="11" t="str">
        <f aca="false">IF(I91="","",LEN(I91))</f>
        <v/>
      </c>
      <c r="K91" s="16"/>
      <c r="L91" s="16"/>
      <c r="M91" s="11" t="str">
        <f aca="false">IF(L91="","",IFERROR(INDEX('Hashtag Bank'!$E$5:$E$104,MATCH(L91,'Hashtag Bank'!$B$5:$B$104,0)),""))</f>
        <v/>
      </c>
      <c r="N91" s="16"/>
      <c r="O91" s="16"/>
      <c r="P91" s="16"/>
      <c r="Q91" s="46" t="str">
        <f aca="true">IF(A91&amp;H91="","",TRIM(IF(AND(A91&lt;&gt;"",A91&lt;TODAY(),O91&lt;&gt;"Published",O91&lt;&gt;"Repurpose"),"⚠ Overdue ","")&amp;IF(AND(J91&lt;&gt;"",D91&lt;&gt;"",IFERROR(J91&gt;INDEX(Setup!$E$9:$E$18,MATCH(D91,Setup!$B$9:$B$18,0)),FALSE())),"✂ Caption too long ","")&amp;IF(AND(M91&lt;&gt;"",D91&lt;&gt;"",IFERROR(M91&gt;INDEX(Setup!$F$9:$F$18,MATCH(D91,Setup!$B$9:$B$18,0)),FALSE())),"# Too many tags","")))</f>
        <v/>
      </c>
      <c r="R91" s="16"/>
      <c r="S91" s="19"/>
      <c r="T91" s="19"/>
      <c r="U91" s="19"/>
      <c r="V91" s="19"/>
      <c r="W91" s="19"/>
      <c r="X91" s="19"/>
      <c r="Y91" s="19"/>
      <c r="Z91" s="47" t="str">
        <f aca="false">IF(COUNT(U91:X91)=0,"",SUM(U91:X91))</f>
        <v/>
      </c>
      <c r="AA91" s="48" t="str">
        <f aca="false">IF(OR(Z91="",N(T91)=0),"",Z91/T91)</f>
        <v/>
      </c>
      <c r="AB91" s="45"/>
      <c r="AC91" s="51" t="str">
        <f aca="false">IF(A91="","",A91+N(C91)+ROW()/10^7)</f>
        <v/>
      </c>
      <c r="AD91" s="51" t="str">
        <f aca="false">IF(A91="","",TEXT(A91,"0")&amp;"|"&amp;COUNTIFS('Content Log'!$A$5:$A$504,A91,'Content Log'!$AC$5:$AC$504,"&lt;="&amp;AC91))</f>
        <v/>
      </c>
      <c r="AE91" s="51" t="str">
        <f aca="false">IF(A91="","",IFERROR(INDEX(Setup!$N$9:$N$14,MATCH(O91,Setup!$M$9:$M$14,0))&amp;" ","")&amp;IF(C91="","",TEXT(C91,"h:mm AM/PM")&amp;" ")&amp;D91&amp;IF(H91="",""," · "&amp;H91))</f>
        <v/>
      </c>
      <c r="AF91" s="51" t="str">
        <f aca="false">IF(OR(A91="",AA91=""),"",IF(AND(A91&gt;=Dashboard!$G$4,A91&lt;=Dashboard!$I$4),AA91+ROW()/10^9,""))</f>
        <v/>
      </c>
      <c r="AG91" s="51" t="str">
        <f aca="false">IF(A91="","",WEEKDAY(A91,2))</f>
        <v/>
      </c>
    </row>
    <row r="92" customFormat="false" ht="15" hidden="false" customHeight="false" outlineLevel="0" collapsed="false">
      <c r="A92" s="43"/>
      <c r="B92" s="11" t="str">
        <f aca="false">IF(A92="","",TEXT(A92,"ddd"))</f>
        <v/>
      </c>
      <c r="C92" s="44"/>
      <c r="D92" s="16"/>
      <c r="E92" s="16"/>
      <c r="F92" s="16"/>
      <c r="G92" s="16"/>
      <c r="H92" s="45"/>
      <c r="I92" s="45"/>
      <c r="J92" s="11" t="str">
        <f aca="false">IF(I92="","",LEN(I92))</f>
        <v/>
      </c>
      <c r="K92" s="16"/>
      <c r="L92" s="16"/>
      <c r="M92" s="11" t="str">
        <f aca="false">IF(L92="","",IFERROR(INDEX('Hashtag Bank'!$E$5:$E$104,MATCH(L92,'Hashtag Bank'!$B$5:$B$104,0)),""))</f>
        <v/>
      </c>
      <c r="N92" s="16"/>
      <c r="O92" s="16"/>
      <c r="P92" s="16"/>
      <c r="Q92" s="46" t="str">
        <f aca="true">IF(A92&amp;H92="","",TRIM(IF(AND(A92&lt;&gt;"",A92&lt;TODAY(),O92&lt;&gt;"Published",O92&lt;&gt;"Repurpose"),"⚠ Overdue ","")&amp;IF(AND(J92&lt;&gt;"",D92&lt;&gt;"",IFERROR(J92&gt;INDEX(Setup!$E$9:$E$18,MATCH(D92,Setup!$B$9:$B$18,0)),FALSE())),"✂ Caption too long ","")&amp;IF(AND(M92&lt;&gt;"",D92&lt;&gt;"",IFERROR(M92&gt;INDEX(Setup!$F$9:$F$18,MATCH(D92,Setup!$B$9:$B$18,0)),FALSE())),"# Too many tags","")))</f>
        <v/>
      </c>
      <c r="R92" s="16"/>
      <c r="S92" s="19"/>
      <c r="T92" s="19"/>
      <c r="U92" s="19"/>
      <c r="V92" s="19"/>
      <c r="W92" s="19"/>
      <c r="X92" s="19"/>
      <c r="Y92" s="19"/>
      <c r="Z92" s="47" t="str">
        <f aca="false">IF(COUNT(U92:X92)=0,"",SUM(U92:X92))</f>
        <v/>
      </c>
      <c r="AA92" s="48" t="str">
        <f aca="false">IF(OR(Z92="",N(T92)=0),"",Z92/T92)</f>
        <v/>
      </c>
      <c r="AB92" s="45"/>
      <c r="AC92" s="51" t="str">
        <f aca="false">IF(A92="","",A92+N(C92)+ROW()/10^7)</f>
        <v/>
      </c>
      <c r="AD92" s="51" t="str">
        <f aca="false">IF(A92="","",TEXT(A92,"0")&amp;"|"&amp;COUNTIFS('Content Log'!$A$5:$A$504,A92,'Content Log'!$AC$5:$AC$504,"&lt;="&amp;AC92))</f>
        <v/>
      </c>
      <c r="AE92" s="51" t="str">
        <f aca="false">IF(A92="","",IFERROR(INDEX(Setup!$N$9:$N$14,MATCH(O92,Setup!$M$9:$M$14,0))&amp;" ","")&amp;IF(C92="","",TEXT(C92,"h:mm AM/PM")&amp;" ")&amp;D92&amp;IF(H92="",""," · "&amp;H92))</f>
        <v/>
      </c>
      <c r="AF92" s="51" t="str">
        <f aca="false">IF(OR(A92="",AA92=""),"",IF(AND(A92&gt;=Dashboard!$G$4,A92&lt;=Dashboard!$I$4),AA92+ROW()/10^9,""))</f>
        <v/>
      </c>
      <c r="AG92" s="51" t="str">
        <f aca="false">IF(A92="","",WEEKDAY(A92,2))</f>
        <v/>
      </c>
    </row>
    <row r="93" customFormat="false" ht="15" hidden="false" customHeight="false" outlineLevel="0" collapsed="false">
      <c r="A93" s="43"/>
      <c r="B93" s="11" t="str">
        <f aca="false">IF(A93="","",TEXT(A93,"ddd"))</f>
        <v/>
      </c>
      <c r="C93" s="44"/>
      <c r="D93" s="16"/>
      <c r="E93" s="16"/>
      <c r="F93" s="16"/>
      <c r="G93" s="16"/>
      <c r="H93" s="45"/>
      <c r="I93" s="45"/>
      <c r="J93" s="11" t="str">
        <f aca="false">IF(I93="","",LEN(I93))</f>
        <v/>
      </c>
      <c r="K93" s="16"/>
      <c r="L93" s="16"/>
      <c r="M93" s="11" t="str">
        <f aca="false">IF(L93="","",IFERROR(INDEX('Hashtag Bank'!$E$5:$E$104,MATCH(L93,'Hashtag Bank'!$B$5:$B$104,0)),""))</f>
        <v/>
      </c>
      <c r="N93" s="16"/>
      <c r="O93" s="16"/>
      <c r="P93" s="16"/>
      <c r="Q93" s="46" t="str">
        <f aca="true">IF(A93&amp;H93="","",TRIM(IF(AND(A93&lt;&gt;"",A93&lt;TODAY(),O93&lt;&gt;"Published",O93&lt;&gt;"Repurpose"),"⚠ Overdue ","")&amp;IF(AND(J93&lt;&gt;"",D93&lt;&gt;"",IFERROR(J93&gt;INDEX(Setup!$E$9:$E$18,MATCH(D93,Setup!$B$9:$B$18,0)),FALSE())),"✂ Caption too long ","")&amp;IF(AND(M93&lt;&gt;"",D93&lt;&gt;"",IFERROR(M93&gt;INDEX(Setup!$F$9:$F$18,MATCH(D93,Setup!$B$9:$B$18,0)),FALSE())),"# Too many tags","")))</f>
        <v/>
      </c>
      <c r="R93" s="16"/>
      <c r="S93" s="19"/>
      <c r="T93" s="19"/>
      <c r="U93" s="19"/>
      <c r="V93" s="19"/>
      <c r="W93" s="19"/>
      <c r="X93" s="19"/>
      <c r="Y93" s="19"/>
      <c r="Z93" s="47" t="str">
        <f aca="false">IF(COUNT(U93:X93)=0,"",SUM(U93:X93))</f>
        <v/>
      </c>
      <c r="AA93" s="48" t="str">
        <f aca="false">IF(OR(Z93="",N(T93)=0),"",Z93/T93)</f>
        <v/>
      </c>
      <c r="AB93" s="45"/>
      <c r="AC93" s="51" t="str">
        <f aca="false">IF(A93="","",A93+N(C93)+ROW()/10^7)</f>
        <v/>
      </c>
      <c r="AD93" s="51" t="str">
        <f aca="false">IF(A93="","",TEXT(A93,"0")&amp;"|"&amp;COUNTIFS('Content Log'!$A$5:$A$504,A93,'Content Log'!$AC$5:$AC$504,"&lt;="&amp;AC93))</f>
        <v/>
      </c>
      <c r="AE93" s="51" t="str">
        <f aca="false">IF(A93="","",IFERROR(INDEX(Setup!$N$9:$N$14,MATCH(O93,Setup!$M$9:$M$14,0))&amp;" ","")&amp;IF(C93="","",TEXT(C93,"h:mm AM/PM")&amp;" ")&amp;D93&amp;IF(H93="",""," · "&amp;H93))</f>
        <v/>
      </c>
      <c r="AF93" s="51" t="str">
        <f aca="false">IF(OR(A93="",AA93=""),"",IF(AND(A93&gt;=Dashboard!$G$4,A93&lt;=Dashboard!$I$4),AA93+ROW()/10^9,""))</f>
        <v/>
      </c>
      <c r="AG93" s="51" t="str">
        <f aca="false">IF(A93="","",WEEKDAY(A93,2))</f>
        <v/>
      </c>
    </row>
    <row r="94" customFormat="false" ht="15" hidden="false" customHeight="false" outlineLevel="0" collapsed="false">
      <c r="A94" s="43"/>
      <c r="B94" s="11" t="str">
        <f aca="false">IF(A94="","",TEXT(A94,"ddd"))</f>
        <v/>
      </c>
      <c r="C94" s="44"/>
      <c r="D94" s="16"/>
      <c r="E94" s="16"/>
      <c r="F94" s="16"/>
      <c r="G94" s="16"/>
      <c r="H94" s="45"/>
      <c r="I94" s="45"/>
      <c r="J94" s="11" t="str">
        <f aca="false">IF(I94="","",LEN(I94))</f>
        <v/>
      </c>
      <c r="K94" s="16"/>
      <c r="L94" s="16"/>
      <c r="M94" s="11" t="str">
        <f aca="false">IF(L94="","",IFERROR(INDEX('Hashtag Bank'!$E$5:$E$104,MATCH(L94,'Hashtag Bank'!$B$5:$B$104,0)),""))</f>
        <v/>
      </c>
      <c r="N94" s="16"/>
      <c r="O94" s="16"/>
      <c r="P94" s="16"/>
      <c r="Q94" s="46" t="str">
        <f aca="true">IF(A94&amp;H94="","",TRIM(IF(AND(A94&lt;&gt;"",A94&lt;TODAY(),O94&lt;&gt;"Published",O94&lt;&gt;"Repurpose"),"⚠ Overdue ","")&amp;IF(AND(J94&lt;&gt;"",D94&lt;&gt;"",IFERROR(J94&gt;INDEX(Setup!$E$9:$E$18,MATCH(D94,Setup!$B$9:$B$18,0)),FALSE())),"✂ Caption too long ","")&amp;IF(AND(M94&lt;&gt;"",D94&lt;&gt;"",IFERROR(M94&gt;INDEX(Setup!$F$9:$F$18,MATCH(D94,Setup!$B$9:$B$18,0)),FALSE())),"# Too many tags","")))</f>
        <v/>
      </c>
      <c r="R94" s="16"/>
      <c r="S94" s="19"/>
      <c r="T94" s="19"/>
      <c r="U94" s="19"/>
      <c r="V94" s="19"/>
      <c r="W94" s="19"/>
      <c r="X94" s="19"/>
      <c r="Y94" s="19"/>
      <c r="Z94" s="47" t="str">
        <f aca="false">IF(COUNT(U94:X94)=0,"",SUM(U94:X94))</f>
        <v/>
      </c>
      <c r="AA94" s="48" t="str">
        <f aca="false">IF(OR(Z94="",N(T94)=0),"",Z94/T94)</f>
        <v/>
      </c>
      <c r="AB94" s="45"/>
      <c r="AC94" s="51" t="str">
        <f aca="false">IF(A94="","",A94+N(C94)+ROW()/10^7)</f>
        <v/>
      </c>
      <c r="AD94" s="51" t="str">
        <f aca="false">IF(A94="","",TEXT(A94,"0")&amp;"|"&amp;COUNTIFS('Content Log'!$A$5:$A$504,A94,'Content Log'!$AC$5:$AC$504,"&lt;="&amp;AC94))</f>
        <v/>
      </c>
      <c r="AE94" s="51" t="str">
        <f aca="false">IF(A94="","",IFERROR(INDEX(Setup!$N$9:$N$14,MATCH(O94,Setup!$M$9:$M$14,0))&amp;" ","")&amp;IF(C94="","",TEXT(C94,"h:mm AM/PM")&amp;" ")&amp;D94&amp;IF(H94="",""," · "&amp;H94))</f>
        <v/>
      </c>
      <c r="AF94" s="51" t="str">
        <f aca="false">IF(OR(A94="",AA94=""),"",IF(AND(A94&gt;=Dashboard!$G$4,A94&lt;=Dashboard!$I$4),AA94+ROW()/10^9,""))</f>
        <v/>
      </c>
      <c r="AG94" s="51" t="str">
        <f aca="false">IF(A94="","",WEEKDAY(A94,2))</f>
        <v/>
      </c>
    </row>
    <row r="95" customFormat="false" ht="15" hidden="false" customHeight="false" outlineLevel="0" collapsed="false">
      <c r="A95" s="43"/>
      <c r="B95" s="11" t="str">
        <f aca="false">IF(A95="","",TEXT(A95,"ddd"))</f>
        <v/>
      </c>
      <c r="C95" s="44"/>
      <c r="D95" s="16"/>
      <c r="E95" s="16"/>
      <c r="F95" s="16"/>
      <c r="G95" s="16"/>
      <c r="H95" s="45"/>
      <c r="I95" s="45"/>
      <c r="J95" s="11" t="str">
        <f aca="false">IF(I95="","",LEN(I95))</f>
        <v/>
      </c>
      <c r="K95" s="16"/>
      <c r="L95" s="16"/>
      <c r="M95" s="11" t="str">
        <f aca="false">IF(L95="","",IFERROR(INDEX('Hashtag Bank'!$E$5:$E$104,MATCH(L95,'Hashtag Bank'!$B$5:$B$104,0)),""))</f>
        <v/>
      </c>
      <c r="N95" s="16"/>
      <c r="O95" s="16"/>
      <c r="P95" s="16"/>
      <c r="Q95" s="46" t="str">
        <f aca="true">IF(A95&amp;H95="","",TRIM(IF(AND(A95&lt;&gt;"",A95&lt;TODAY(),O95&lt;&gt;"Published",O95&lt;&gt;"Repurpose"),"⚠ Overdue ","")&amp;IF(AND(J95&lt;&gt;"",D95&lt;&gt;"",IFERROR(J95&gt;INDEX(Setup!$E$9:$E$18,MATCH(D95,Setup!$B$9:$B$18,0)),FALSE())),"✂ Caption too long ","")&amp;IF(AND(M95&lt;&gt;"",D95&lt;&gt;"",IFERROR(M95&gt;INDEX(Setup!$F$9:$F$18,MATCH(D95,Setup!$B$9:$B$18,0)),FALSE())),"# Too many tags","")))</f>
        <v/>
      </c>
      <c r="R95" s="16"/>
      <c r="S95" s="19"/>
      <c r="T95" s="19"/>
      <c r="U95" s="19"/>
      <c r="V95" s="19"/>
      <c r="W95" s="19"/>
      <c r="X95" s="19"/>
      <c r="Y95" s="19"/>
      <c r="Z95" s="47" t="str">
        <f aca="false">IF(COUNT(U95:X95)=0,"",SUM(U95:X95))</f>
        <v/>
      </c>
      <c r="AA95" s="48" t="str">
        <f aca="false">IF(OR(Z95="",N(T95)=0),"",Z95/T95)</f>
        <v/>
      </c>
      <c r="AB95" s="45"/>
      <c r="AC95" s="51" t="str">
        <f aca="false">IF(A95="","",A95+N(C95)+ROW()/10^7)</f>
        <v/>
      </c>
      <c r="AD95" s="51" t="str">
        <f aca="false">IF(A95="","",TEXT(A95,"0")&amp;"|"&amp;COUNTIFS('Content Log'!$A$5:$A$504,A95,'Content Log'!$AC$5:$AC$504,"&lt;="&amp;AC95))</f>
        <v/>
      </c>
      <c r="AE95" s="51" t="str">
        <f aca="false">IF(A95="","",IFERROR(INDEX(Setup!$N$9:$N$14,MATCH(O95,Setup!$M$9:$M$14,0))&amp;" ","")&amp;IF(C95="","",TEXT(C95,"h:mm AM/PM")&amp;" ")&amp;D95&amp;IF(H95="",""," · "&amp;H95))</f>
        <v/>
      </c>
      <c r="AF95" s="51" t="str">
        <f aca="false">IF(OR(A95="",AA95=""),"",IF(AND(A95&gt;=Dashboard!$G$4,A95&lt;=Dashboard!$I$4),AA95+ROW()/10^9,""))</f>
        <v/>
      </c>
      <c r="AG95" s="51" t="str">
        <f aca="false">IF(A95="","",WEEKDAY(A95,2))</f>
        <v/>
      </c>
    </row>
    <row r="96" customFormat="false" ht="15" hidden="false" customHeight="false" outlineLevel="0" collapsed="false">
      <c r="A96" s="43"/>
      <c r="B96" s="11" t="str">
        <f aca="false">IF(A96="","",TEXT(A96,"ddd"))</f>
        <v/>
      </c>
      <c r="C96" s="44"/>
      <c r="D96" s="16"/>
      <c r="E96" s="16"/>
      <c r="F96" s="16"/>
      <c r="G96" s="16"/>
      <c r="H96" s="45"/>
      <c r="I96" s="45"/>
      <c r="J96" s="11" t="str">
        <f aca="false">IF(I96="","",LEN(I96))</f>
        <v/>
      </c>
      <c r="K96" s="16"/>
      <c r="L96" s="16"/>
      <c r="M96" s="11" t="str">
        <f aca="false">IF(L96="","",IFERROR(INDEX('Hashtag Bank'!$E$5:$E$104,MATCH(L96,'Hashtag Bank'!$B$5:$B$104,0)),""))</f>
        <v/>
      </c>
      <c r="N96" s="16"/>
      <c r="O96" s="16"/>
      <c r="P96" s="16"/>
      <c r="Q96" s="46" t="str">
        <f aca="true">IF(A96&amp;H96="","",TRIM(IF(AND(A96&lt;&gt;"",A96&lt;TODAY(),O96&lt;&gt;"Published",O96&lt;&gt;"Repurpose"),"⚠ Overdue ","")&amp;IF(AND(J96&lt;&gt;"",D96&lt;&gt;"",IFERROR(J96&gt;INDEX(Setup!$E$9:$E$18,MATCH(D96,Setup!$B$9:$B$18,0)),FALSE())),"✂ Caption too long ","")&amp;IF(AND(M96&lt;&gt;"",D96&lt;&gt;"",IFERROR(M96&gt;INDEX(Setup!$F$9:$F$18,MATCH(D96,Setup!$B$9:$B$18,0)),FALSE())),"# Too many tags","")))</f>
        <v/>
      </c>
      <c r="R96" s="16"/>
      <c r="S96" s="19"/>
      <c r="T96" s="19"/>
      <c r="U96" s="19"/>
      <c r="V96" s="19"/>
      <c r="W96" s="19"/>
      <c r="X96" s="19"/>
      <c r="Y96" s="19"/>
      <c r="Z96" s="47" t="str">
        <f aca="false">IF(COUNT(U96:X96)=0,"",SUM(U96:X96))</f>
        <v/>
      </c>
      <c r="AA96" s="48" t="str">
        <f aca="false">IF(OR(Z96="",N(T96)=0),"",Z96/T96)</f>
        <v/>
      </c>
      <c r="AB96" s="45"/>
      <c r="AC96" s="51" t="str">
        <f aca="false">IF(A96="","",A96+N(C96)+ROW()/10^7)</f>
        <v/>
      </c>
      <c r="AD96" s="51" t="str">
        <f aca="false">IF(A96="","",TEXT(A96,"0")&amp;"|"&amp;COUNTIFS('Content Log'!$A$5:$A$504,A96,'Content Log'!$AC$5:$AC$504,"&lt;="&amp;AC96))</f>
        <v/>
      </c>
      <c r="AE96" s="51" t="str">
        <f aca="false">IF(A96="","",IFERROR(INDEX(Setup!$N$9:$N$14,MATCH(O96,Setup!$M$9:$M$14,0))&amp;" ","")&amp;IF(C96="","",TEXT(C96,"h:mm AM/PM")&amp;" ")&amp;D96&amp;IF(H96="",""," · "&amp;H96))</f>
        <v/>
      </c>
      <c r="AF96" s="51" t="str">
        <f aca="false">IF(OR(A96="",AA96=""),"",IF(AND(A96&gt;=Dashboard!$G$4,A96&lt;=Dashboard!$I$4),AA96+ROW()/10^9,""))</f>
        <v/>
      </c>
      <c r="AG96" s="51" t="str">
        <f aca="false">IF(A96="","",WEEKDAY(A96,2))</f>
        <v/>
      </c>
    </row>
    <row r="97" customFormat="false" ht="15" hidden="false" customHeight="false" outlineLevel="0" collapsed="false">
      <c r="A97" s="43"/>
      <c r="B97" s="11" t="str">
        <f aca="false">IF(A97="","",TEXT(A97,"ddd"))</f>
        <v/>
      </c>
      <c r="C97" s="44"/>
      <c r="D97" s="16"/>
      <c r="E97" s="16"/>
      <c r="F97" s="16"/>
      <c r="G97" s="16"/>
      <c r="H97" s="45"/>
      <c r="I97" s="45"/>
      <c r="J97" s="11" t="str">
        <f aca="false">IF(I97="","",LEN(I97))</f>
        <v/>
      </c>
      <c r="K97" s="16"/>
      <c r="L97" s="16"/>
      <c r="M97" s="11" t="str">
        <f aca="false">IF(L97="","",IFERROR(INDEX('Hashtag Bank'!$E$5:$E$104,MATCH(L97,'Hashtag Bank'!$B$5:$B$104,0)),""))</f>
        <v/>
      </c>
      <c r="N97" s="16"/>
      <c r="O97" s="16"/>
      <c r="P97" s="16"/>
      <c r="Q97" s="46" t="str">
        <f aca="true">IF(A97&amp;H97="","",TRIM(IF(AND(A97&lt;&gt;"",A97&lt;TODAY(),O97&lt;&gt;"Published",O97&lt;&gt;"Repurpose"),"⚠ Overdue ","")&amp;IF(AND(J97&lt;&gt;"",D97&lt;&gt;"",IFERROR(J97&gt;INDEX(Setup!$E$9:$E$18,MATCH(D97,Setup!$B$9:$B$18,0)),FALSE())),"✂ Caption too long ","")&amp;IF(AND(M97&lt;&gt;"",D97&lt;&gt;"",IFERROR(M97&gt;INDEX(Setup!$F$9:$F$18,MATCH(D97,Setup!$B$9:$B$18,0)),FALSE())),"# Too many tags","")))</f>
        <v/>
      </c>
      <c r="R97" s="16"/>
      <c r="S97" s="19"/>
      <c r="T97" s="19"/>
      <c r="U97" s="19"/>
      <c r="V97" s="19"/>
      <c r="W97" s="19"/>
      <c r="X97" s="19"/>
      <c r="Y97" s="19"/>
      <c r="Z97" s="47" t="str">
        <f aca="false">IF(COUNT(U97:X97)=0,"",SUM(U97:X97))</f>
        <v/>
      </c>
      <c r="AA97" s="48" t="str">
        <f aca="false">IF(OR(Z97="",N(T97)=0),"",Z97/T97)</f>
        <v/>
      </c>
      <c r="AB97" s="45"/>
      <c r="AC97" s="51" t="str">
        <f aca="false">IF(A97="","",A97+N(C97)+ROW()/10^7)</f>
        <v/>
      </c>
      <c r="AD97" s="51" t="str">
        <f aca="false">IF(A97="","",TEXT(A97,"0")&amp;"|"&amp;COUNTIFS('Content Log'!$A$5:$A$504,A97,'Content Log'!$AC$5:$AC$504,"&lt;="&amp;AC97))</f>
        <v/>
      </c>
      <c r="AE97" s="51" t="str">
        <f aca="false">IF(A97="","",IFERROR(INDEX(Setup!$N$9:$N$14,MATCH(O97,Setup!$M$9:$M$14,0))&amp;" ","")&amp;IF(C97="","",TEXT(C97,"h:mm AM/PM")&amp;" ")&amp;D97&amp;IF(H97="",""," · "&amp;H97))</f>
        <v/>
      </c>
      <c r="AF97" s="51" t="str">
        <f aca="false">IF(OR(A97="",AA97=""),"",IF(AND(A97&gt;=Dashboard!$G$4,A97&lt;=Dashboard!$I$4),AA97+ROW()/10^9,""))</f>
        <v/>
      </c>
      <c r="AG97" s="51" t="str">
        <f aca="false">IF(A97="","",WEEKDAY(A97,2))</f>
        <v/>
      </c>
    </row>
    <row r="98" customFormat="false" ht="15" hidden="false" customHeight="false" outlineLevel="0" collapsed="false">
      <c r="A98" s="43"/>
      <c r="B98" s="11" t="str">
        <f aca="false">IF(A98="","",TEXT(A98,"ddd"))</f>
        <v/>
      </c>
      <c r="C98" s="44"/>
      <c r="D98" s="16"/>
      <c r="E98" s="16"/>
      <c r="F98" s="16"/>
      <c r="G98" s="16"/>
      <c r="H98" s="45"/>
      <c r="I98" s="45"/>
      <c r="J98" s="11" t="str">
        <f aca="false">IF(I98="","",LEN(I98))</f>
        <v/>
      </c>
      <c r="K98" s="16"/>
      <c r="L98" s="16"/>
      <c r="M98" s="11" t="str">
        <f aca="false">IF(L98="","",IFERROR(INDEX('Hashtag Bank'!$E$5:$E$104,MATCH(L98,'Hashtag Bank'!$B$5:$B$104,0)),""))</f>
        <v/>
      </c>
      <c r="N98" s="16"/>
      <c r="O98" s="16"/>
      <c r="P98" s="16"/>
      <c r="Q98" s="46" t="str">
        <f aca="true">IF(A98&amp;H98="","",TRIM(IF(AND(A98&lt;&gt;"",A98&lt;TODAY(),O98&lt;&gt;"Published",O98&lt;&gt;"Repurpose"),"⚠ Overdue ","")&amp;IF(AND(J98&lt;&gt;"",D98&lt;&gt;"",IFERROR(J98&gt;INDEX(Setup!$E$9:$E$18,MATCH(D98,Setup!$B$9:$B$18,0)),FALSE())),"✂ Caption too long ","")&amp;IF(AND(M98&lt;&gt;"",D98&lt;&gt;"",IFERROR(M98&gt;INDEX(Setup!$F$9:$F$18,MATCH(D98,Setup!$B$9:$B$18,0)),FALSE())),"# Too many tags","")))</f>
        <v/>
      </c>
      <c r="R98" s="16"/>
      <c r="S98" s="19"/>
      <c r="T98" s="19"/>
      <c r="U98" s="19"/>
      <c r="V98" s="19"/>
      <c r="W98" s="19"/>
      <c r="X98" s="19"/>
      <c r="Y98" s="19"/>
      <c r="Z98" s="47" t="str">
        <f aca="false">IF(COUNT(U98:X98)=0,"",SUM(U98:X98))</f>
        <v/>
      </c>
      <c r="AA98" s="48" t="str">
        <f aca="false">IF(OR(Z98="",N(T98)=0),"",Z98/T98)</f>
        <v/>
      </c>
      <c r="AB98" s="45"/>
      <c r="AC98" s="51" t="str">
        <f aca="false">IF(A98="","",A98+N(C98)+ROW()/10^7)</f>
        <v/>
      </c>
      <c r="AD98" s="51" t="str">
        <f aca="false">IF(A98="","",TEXT(A98,"0")&amp;"|"&amp;COUNTIFS('Content Log'!$A$5:$A$504,A98,'Content Log'!$AC$5:$AC$504,"&lt;="&amp;AC98))</f>
        <v/>
      </c>
      <c r="AE98" s="51" t="str">
        <f aca="false">IF(A98="","",IFERROR(INDEX(Setup!$N$9:$N$14,MATCH(O98,Setup!$M$9:$M$14,0))&amp;" ","")&amp;IF(C98="","",TEXT(C98,"h:mm AM/PM")&amp;" ")&amp;D98&amp;IF(H98="",""," · "&amp;H98))</f>
        <v/>
      </c>
      <c r="AF98" s="51" t="str">
        <f aca="false">IF(OR(A98="",AA98=""),"",IF(AND(A98&gt;=Dashboard!$G$4,A98&lt;=Dashboard!$I$4),AA98+ROW()/10^9,""))</f>
        <v/>
      </c>
      <c r="AG98" s="51" t="str">
        <f aca="false">IF(A98="","",WEEKDAY(A98,2))</f>
        <v/>
      </c>
    </row>
    <row r="99" customFormat="false" ht="15" hidden="false" customHeight="false" outlineLevel="0" collapsed="false">
      <c r="A99" s="43"/>
      <c r="B99" s="11" t="str">
        <f aca="false">IF(A99="","",TEXT(A99,"ddd"))</f>
        <v/>
      </c>
      <c r="C99" s="44"/>
      <c r="D99" s="16"/>
      <c r="E99" s="16"/>
      <c r="F99" s="16"/>
      <c r="G99" s="16"/>
      <c r="H99" s="45"/>
      <c r="I99" s="45"/>
      <c r="J99" s="11" t="str">
        <f aca="false">IF(I99="","",LEN(I99))</f>
        <v/>
      </c>
      <c r="K99" s="16"/>
      <c r="L99" s="16"/>
      <c r="M99" s="11" t="str">
        <f aca="false">IF(L99="","",IFERROR(INDEX('Hashtag Bank'!$E$5:$E$104,MATCH(L99,'Hashtag Bank'!$B$5:$B$104,0)),""))</f>
        <v/>
      </c>
      <c r="N99" s="16"/>
      <c r="O99" s="16"/>
      <c r="P99" s="16"/>
      <c r="Q99" s="46" t="str">
        <f aca="true">IF(A99&amp;H99="","",TRIM(IF(AND(A99&lt;&gt;"",A99&lt;TODAY(),O99&lt;&gt;"Published",O99&lt;&gt;"Repurpose"),"⚠ Overdue ","")&amp;IF(AND(J99&lt;&gt;"",D99&lt;&gt;"",IFERROR(J99&gt;INDEX(Setup!$E$9:$E$18,MATCH(D99,Setup!$B$9:$B$18,0)),FALSE())),"✂ Caption too long ","")&amp;IF(AND(M99&lt;&gt;"",D99&lt;&gt;"",IFERROR(M99&gt;INDEX(Setup!$F$9:$F$18,MATCH(D99,Setup!$B$9:$B$18,0)),FALSE())),"# Too many tags","")))</f>
        <v/>
      </c>
      <c r="R99" s="16"/>
      <c r="S99" s="19"/>
      <c r="T99" s="19"/>
      <c r="U99" s="19"/>
      <c r="V99" s="19"/>
      <c r="W99" s="19"/>
      <c r="X99" s="19"/>
      <c r="Y99" s="19"/>
      <c r="Z99" s="47" t="str">
        <f aca="false">IF(COUNT(U99:X99)=0,"",SUM(U99:X99))</f>
        <v/>
      </c>
      <c r="AA99" s="48" t="str">
        <f aca="false">IF(OR(Z99="",N(T99)=0),"",Z99/T99)</f>
        <v/>
      </c>
      <c r="AB99" s="45"/>
      <c r="AC99" s="51" t="str">
        <f aca="false">IF(A99="","",A99+N(C99)+ROW()/10^7)</f>
        <v/>
      </c>
      <c r="AD99" s="51" t="str">
        <f aca="false">IF(A99="","",TEXT(A99,"0")&amp;"|"&amp;COUNTIFS('Content Log'!$A$5:$A$504,A99,'Content Log'!$AC$5:$AC$504,"&lt;="&amp;AC99))</f>
        <v/>
      </c>
      <c r="AE99" s="51" t="str">
        <f aca="false">IF(A99="","",IFERROR(INDEX(Setup!$N$9:$N$14,MATCH(O99,Setup!$M$9:$M$14,0))&amp;" ","")&amp;IF(C99="","",TEXT(C99,"h:mm AM/PM")&amp;" ")&amp;D99&amp;IF(H99="",""," · "&amp;H99))</f>
        <v/>
      </c>
      <c r="AF99" s="51" t="str">
        <f aca="false">IF(OR(A99="",AA99=""),"",IF(AND(A99&gt;=Dashboard!$G$4,A99&lt;=Dashboard!$I$4),AA99+ROW()/10^9,""))</f>
        <v/>
      </c>
      <c r="AG99" s="51" t="str">
        <f aca="false">IF(A99="","",WEEKDAY(A99,2))</f>
        <v/>
      </c>
    </row>
    <row r="100" customFormat="false" ht="15" hidden="false" customHeight="false" outlineLevel="0" collapsed="false">
      <c r="A100" s="43"/>
      <c r="B100" s="11" t="str">
        <f aca="false">IF(A100="","",TEXT(A100,"ddd"))</f>
        <v/>
      </c>
      <c r="C100" s="44"/>
      <c r="D100" s="16"/>
      <c r="E100" s="16"/>
      <c r="F100" s="16"/>
      <c r="G100" s="16"/>
      <c r="H100" s="45"/>
      <c r="I100" s="45"/>
      <c r="J100" s="11" t="str">
        <f aca="false">IF(I100="","",LEN(I100))</f>
        <v/>
      </c>
      <c r="K100" s="16"/>
      <c r="L100" s="16"/>
      <c r="M100" s="11" t="str">
        <f aca="false">IF(L100="","",IFERROR(INDEX('Hashtag Bank'!$E$5:$E$104,MATCH(L100,'Hashtag Bank'!$B$5:$B$104,0)),""))</f>
        <v/>
      </c>
      <c r="N100" s="16"/>
      <c r="O100" s="16"/>
      <c r="P100" s="16"/>
      <c r="Q100" s="46" t="str">
        <f aca="true">IF(A100&amp;H100="","",TRIM(IF(AND(A100&lt;&gt;"",A100&lt;TODAY(),O100&lt;&gt;"Published",O100&lt;&gt;"Repurpose"),"⚠ Overdue ","")&amp;IF(AND(J100&lt;&gt;"",D100&lt;&gt;"",IFERROR(J100&gt;INDEX(Setup!$E$9:$E$18,MATCH(D100,Setup!$B$9:$B$18,0)),FALSE())),"✂ Caption too long ","")&amp;IF(AND(M100&lt;&gt;"",D100&lt;&gt;"",IFERROR(M100&gt;INDEX(Setup!$F$9:$F$18,MATCH(D100,Setup!$B$9:$B$18,0)),FALSE())),"# Too many tags","")))</f>
        <v/>
      </c>
      <c r="R100" s="16"/>
      <c r="S100" s="19"/>
      <c r="T100" s="19"/>
      <c r="U100" s="19"/>
      <c r="V100" s="19"/>
      <c r="W100" s="19"/>
      <c r="X100" s="19"/>
      <c r="Y100" s="19"/>
      <c r="Z100" s="47" t="str">
        <f aca="false">IF(COUNT(U100:X100)=0,"",SUM(U100:X100))</f>
        <v/>
      </c>
      <c r="AA100" s="48" t="str">
        <f aca="false">IF(OR(Z100="",N(T100)=0),"",Z100/T100)</f>
        <v/>
      </c>
      <c r="AB100" s="45"/>
      <c r="AC100" s="51" t="str">
        <f aca="false">IF(A100="","",A100+N(C100)+ROW()/10^7)</f>
        <v/>
      </c>
      <c r="AD100" s="51" t="str">
        <f aca="false">IF(A100="","",TEXT(A100,"0")&amp;"|"&amp;COUNTIFS('Content Log'!$A$5:$A$504,A100,'Content Log'!$AC$5:$AC$504,"&lt;="&amp;AC100))</f>
        <v/>
      </c>
      <c r="AE100" s="51" t="str">
        <f aca="false">IF(A100="","",IFERROR(INDEX(Setup!$N$9:$N$14,MATCH(O100,Setup!$M$9:$M$14,0))&amp;" ","")&amp;IF(C100="","",TEXT(C100,"h:mm AM/PM")&amp;" ")&amp;D100&amp;IF(H100="",""," · "&amp;H100))</f>
        <v/>
      </c>
      <c r="AF100" s="51" t="str">
        <f aca="false">IF(OR(A100="",AA100=""),"",IF(AND(A100&gt;=Dashboard!$G$4,A100&lt;=Dashboard!$I$4),AA100+ROW()/10^9,""))</f>
        <v/>
      </c>
      <c r="AG100" s="51" t="str">
        <f aca="false">IF(A100="","",WEEKDAY(A100,2))</f>
        <v/>
      </c>
    </row>
    <row r="101" customFormat="false" ht="15" hidden="false" customHeight="false" outlineLevel="0" collapsed="false">
      <c r="A101" s="43"/>
      <c r="B101" s="11" t="str">
        <f aca="false">IF(A101="","",TEXT(A101,"ddd"))</f>
        <v/>
      </c>
      <c r="C101" s="44"/>
      <c r="D101" s="16"/>
      <c r="E101" s="16"/>
      <c r="F101" s="16"/>
      <c r="G101" s="16"/>
      <c r="H101" s="45"/>
      <c r="I101" s="45"/>
      <c r="J101" s="11" t="str">
        <f aca="false">IF(I101="","",LEN(I101))</f>
        <v/>
      </c>
      <c r="K101" s="16"/>
      <c r="L101" s="16"/>
      <c r="M101" s="11" t="str">
        <f aca="false">IF(L101="","",IFERROR(INDEX('Hashtag Bank'!$E$5:$E$104,MATCH(L101,'Hashtag Bank'!$B$5:$B$104,0)),""))</f>
        <v/>
      </c>
      <c r="N101" s="16"/>
      <c r="O101" s="16"/>
      <c r="P101" s="16"/>
      <c r="Q101" s="46" t="str">
        <f aca="true">IF(A101&amp;H101="","",TRIM(IF(AND(A101&lt;&gt;"",A101&lt;TODAY(),O101&lt;&gt;"Published",O101&lt;&gt;"Repurpose"),"⚠ Overdue ","")&amp;IF(AND(J101&lt;&gt;"",D101&lt;&gt;"",IFERROR(J101&gt;INDEX(Setup!$E$9:$E$18,MATCH(D101,Setup!$B$9:$B$18,0)),FALSE())),"✂ Caption too long ","")&amp;IF(AND(M101&lt;&gt;"",D101&lt;&gt;"",IFERROR(M101&gt;INDEX(Setup!$F$9:$F$18,MATCH(D101,Setup!$B$9:$B$18,0)),FALSE())),"# Too many tags","")))</f>
        <v/>
      </c>
      <c r="R101" s="16"/>
      <c r="S101" s="19"/>
      <c r="T101" s="19"/>
      <c r="U101" s="19"/>
      <c r="V101" s="19"/>
      <c r="W101" s="19"/>
      <c r="X101" s="19"/>
      <c r="Y101" s="19"/>
      <c r="Z101" s="47" t="str">
        <f aca="false">IF(COUNT(U101:X101)=0,"",SUM(U101:X101))</f>
        <v/>
      </c>
      <c r="AA101" s="48" t="str">
        <f aca="false">IF(OR(Z101="",N(T101)=0),"",Z101/T101)</f>
        <v/>
      </c>
      <c r="AB101" s="45"/>
      <c r="AC101" s="51" t="str">
        <f aca="false">IF(A101="","",A101+N(C101)+ROW()/10^7)</f>
        <v/>
      </c>
      <c r="AD101" s="51" t="str">
        <f aca="false">IF(A101="","",TEXT(A101,"0")&amp;"|"&amp;COUNTIFS('Content Log'!$A$5:$A$504,A101,'Content Log'!$AC$5:$AC$504,"&lt;="&amp;AC101))</f>
        <v/>
      </c>
      <c r="AE101" s="51" t="str">
        <f aca="false">IF(A101="","",IFERROR(INDEX(Setup!$N$9:$N$14,MATCH(O101,Setup!$M$9:$M$14,0))&amp;" ","")&amp;IF(C101="","",TEXT(C101,"h:mm AM/PM")&amp;" ")&amp;D101&amp;IF(H101="",""," · "&amp;H101))</f>
        <v/>
      </c>
      <c r="AF101" s="51" t="str">
        <f aca="false">IF(OR(A101="",AA101=""),"",IF(AND(A101&gt;=Dashboard!$G$4,A101&lt;=Dashboard!$I$4),AA101+ROW()/10^9,""))</f>
        <v/>
      </c>
      <c r="AG101" s="51" t="str">
        <f aca="false">IF(A101="","",WEEKDAY(A101,2))</f>
        <v/>
      </c>
    </row>
    <row r="102" customFormat="false" ht="15" hidden="false" customHeight="false" outlineLevel="0" collapsed="false">
      <c r="A102" s="43"/>
      <c r="B102" s="11" t="str">
        <f aca="false">IF(A102="","",TEXT(A102,"ddd"))</f>
        <v/>
      </c>
      <c r="C102" s="44"/>
      <c r="D102" s="16"/>
      <c r="E102" s="16"/>
      <c r="F102" s="16"/>
      <c r="G102" s="16"/>
      <c r="H102" s="45"/>
      <c r="I102" s="45"/>
      <c r="J102" s="11" t="str">
        <f aca="false">IF(I102="","",LEN(I102))</f>
        <v/>
      </c>
      <c r="K102" s="16"/>
      <c r="L102" s="16"/>
      <c r="M102" s="11" t="str">
        <f aca="false">IF(L102="","",IFERROR(INDEX('Hashtag Bank'!$E$5:$E$104,MATCH(L102,'Hashtag Bank'!$B$5:$B$104,0)),""))</f>
        <v/>
      </c>
      <c r="N102" s="16"/>
      <c r="O102" s="16"/>
      <c r="P102" s="16"/>
      <c r="Q102" s="46" t="str">
        <f aca="true">IF(A102&amp;H102="","",TRIM(IF(AND(A102&lt;&gt;"",A102&lt;TODAY(),O102&lt;&gt;"Published",O102&lt;&gt;"Repurpose"),"⚠ Overdue ","")&amp;IF(AND(J102&lt;&gt;"",D102&lt;&gt;"",IFERROR(J102&gt;INDEX(Setup!$E$9:$E$18,MATCH(D102,Setup!$B$9:$B$18,0)),FALSE())),"✂ Caption too long ","")&amp;IF(AND(M102&lt;&gt;"",D102&lt;&gt;"",IFERROR(M102&gt;INDEX(Setup!$F$9:$F$18,MATCH(D102,Setup!$B$9:$B$18,0)),FALSE())),"# Too many tags","")))</f>
        <v/>
      </c>
      <c r="R102" s="16"/>
      <c r="S102" s="19"/>
      <c r="T102" s="19"/>
      <c r="U102" s="19"/>
      <c r="V102" s="19"/>
      <c r="W102" s="19"/>
      <c r="X102" s="19"/>
      <c r="Y102" s="19"/>
      <c r="Z102" s="47" t="str">
        <f aca="false">IF(COUNT(U102:X102)=0,"",SUM(U102:X102))</f>
        <v/>
      </c>
      <c r="AA102" s="48" t="str">
        <f aca="false">IF(OR(Z102="",N(T102)=0),"",Z102/T102)</f>
        <v/>
      </c>
      <c r="AB102" s="45"/>
      <c r="AC102" s="51" t="str">
        <f aca="false">IF(A102="","",A102+N(C102)+ROW()/10^7)</f>
        <v/>
      </c>
      <c r="AD102" s="51" t="str">
        <f aca="false">IF(A102="","",TEXT(A102,"0")&amp;"|"&amp;COUNTIFS('Content Log'!$A$5:$A$504,A102,'Content Log'!$AC$5:$AC$504,"&lt;="&amp;AC102))</f>
        <v/>
      </c>
      <c r="AE102" s="51" t="str">
        <f aca="false">IF(A102="","",IFERROR(INDEX(Setup!$N$9:$N$14,MATCH(O102,Setup!$M$9:$M$14,0))&amp;" ","")&amp;IF(C102="","",TEXT(C102,"h:mm AM/PM")&amp;" ")&amp;D102&amp;IF(H102="",""," · "&amp;H102))</f>
        <v/>
      </c>
      <c r="AF102" s="51" t="str">
        <f aca="false">IF(OR(A102="",AA102=""),"",IF(AND(A102&gt;=Dashboard!$G$4,A102&lt;=Dashboard!$I$4),AA102+ROW()/10^9,""))</f>
        <v/>
      </c>
      <c r="AG102" s="51" t="str">
        <f aca="false">IF(A102="","",WEEKDAY(A102,2))</f>
        <v/>
      </c>
    </row>
    <row r="103" customFormat="false" ht="15" hidden="false" customHeight="false" outlineLevel="0" collapsed="false">
      <c r="A103" s="43"/>
      <c r="B103" s="11" t="str">
        <f aca="false">IF(A103="","",TEXT(A103,"ddd"))</f>
        <v/>
      </c>
      <c r="C103" s="44"/>
      <c r="D103" s="16"/>
      <c r="E103" s="16"/>
      <c r="F103" s="16"/>
      <c r="G103" s="16"/>
      <c r="H103" s="45"/>
      <c r="I103" s="45"/>
      <c r="J103" s="11" t="str">
        <f aca="false">IF(I103="","",LEN(I103))</f>
        <v/>
      </c>
      <c r="K103" s="16"/>
      <c r="L103" s="16"/>
      <c r="M103" s="11" t="str">
        <f aca="false">IF(L103="","",IFERROR(INDEX('Hashtag Bank'!$E$5:$E$104,MATCH(L103,'Hashtag Bank'!$B$5:$B$104,0)),""))</f>
        <v/>
      </c>
      <c r="N103" s="16"/>
      <c r="O103" s="16"/>
      <c r="P103" s="16"/>
      <c r="Q103" s="46" t="str">
        <f aca="true">IF(A103&amp;H103="","",TRIM(IF(AND(A103&lt;&gt;"",A103&lt;TODAY(),O103&lt;&gt;"Published",O103&lt;&gt;"Repurpose"),"⚠ Overdue ","")&amp;IF(AND(J103&lt;&gt;"",D103&lt;&gt;"",IFERROR(J103&gt;INDEX(Setup!$E$9:$E$18,MATCH(D103,Setup!$B$9:$B$18,0)),FALSE())),"✂ Caption too long ","")&amp;IF(AND(M103&lt;&gt;"",D103&lt;&gt;"",IFERROR(M103&gt;INDEX(Setup!$F$9:$F$18,MATCH(D103,Setup!$B$9:$B$18,0)),FALSE())),"# Too many tags","")))</f>
        <v/>
      </c>
      <c r="R103" s="16"/>
      <c r="S103" s="19"/>
      <c r="T103" s="19"/>
      <c r="U103" s="19"/>
      <c r="V103" s="19"/>
      <c r="W103" s="19"/>
      <c r="X103" s="19"/>
      <c r="Y103" s="19"/>
      <c r="Z103" s="47" t="str">
        <f aca="false">IF(COUNT(U103:X103)=0,"",SUM(U103:X103))</f>
        <v/>
      </c>
      <c r="AA103" s="48" t="str">
        <f aca="false">IF(OR(Z103="",N(T103)=0),"",Z103/T103)</f>
        <v/>
      </c>
      <c r="AB103" s="45"/>
      <c r="AC103" s="51" t="str">
        <f aca="false">IF(A103="","",A103+N(C103)+ROW()/10^7)</f>
        <v/>
      </c>
      <c r="AD103" s="51" t="str">
        <f aca="false">IF(A103="","",TEXT(A103,"0")&amp;"|"&amp;COUNTIFS('Content Log'!$A$5:$A$504,A103,'Content Log'!$AC$5:$AC$504,"&lt;="&amp;AC103))</f>
        <v/>
      </c>
      <c r="AE103" s="51" t="str">
        <f aca="false">IF(A103="","",IFERROR(INDEX(Setup!$N$9:$N$14,MATCH(O103,Setup!$M$9:$M$14,0))&amp;" ","")&amp;IF(C103="","",TEXT(C103,"h:mm AM/PM")&amp;" ")&amp;D103&amp;IF(H103="",""," · "&amp;H103))</f>
        <v/>
      </c>
      <c r="AF103" s="51" t="str">
        <f aca="false">IF(OR(A103="",AA103=""),"",IF(AND(A103&gt;=Dashboard!$G$4,A103&lt;=Dashboard!$I$4),AA103+ROW()/10^9,""))</f>
        <v/>
      </c>
      <c r="AG103" s="51" t="str">
        <f aca="false">IF(A103="","",WEEKDAY(A103,2))</f>
        <v/>
      </c>
    </row>
    <row r="104" customFormat="false" ht="15" hidden="false" customHeight="false" outlineLevel="0" collapsed="false">
      <c r="A104" s="43"/>
      <c r="B104" s="11" t="str">
        <f aca="false">IF(A104="","",TEXT(A104,"ddd"))</f>
        <v/>
      </c>
      <c r="C104" s="44"/>
      <c r="D104" s="16"/>
      <c r="E104" s="16"/>
      <c r="F104" s="16"/>
      <c r="G104" s="16"/>
      <c r="H104" s="45"/>
      <c r="I104" s="45"/>
      <c r="J104" s="11" t="str">
        <f aca="false">IF(I104="","",LEN(I104))</f>
        <v/>
      </c>
      <c r="K104" s="16"/>
      <c r="L104" s="16"/>
      <c r="M104" s="11" t="str">
        <f aca="false">IF(L104="","",IFERROR(INDEX('Hashtag Bank'!$E$5:$E$104,MATCH(L104,'Hashtag Bank'!$B$5:$B$104,0)),""))</f>
        <v/>
      </c>
      <c r="N104" s="16"/>
      <c r="O104" s="16"/>
      <c r="P104" s="16"/>
      <c r="Q104" s="46" t="str">
        <f aca="true">IF(A104&amp;H104="","",TRIM(IF(AND(A104&lt;&gt;"",A104&lt;TODAY(),O104&lt;&gt;"Published",O104&lt;&gt;"Repurpose"),"⚠ Overdue ","")&amp;IF(AND(J104&lt;&gt;"",D104&lt;&gt;"",IFERROR(J104&gt;INDEX(Setup!$E$9:$E$18,MATCH(D104,Setup!$B$9:$B$18,0)),FALSE())),"✂ Caption too long ","")&amp;IF(AND(M104&lt;&gt;"",D104&lt;&gt;"",IFERROR(M104&gt;INDEX(Setup!$F$9:$F$18,MATCH(D104,Setup!$B$9:$B$18,0)),FALSE())),"# Too many tags","")))</f>
        <v/>
      </c>
      <c r="R104" s="16"/>
      <c r="S104" s="19"/>
      <c r="T104" s="19"/>
      <c r="U104" s="19"/>
      <c r="V104" s="19"/>
      <c r="W104" s="19"/>
      <c r="X104" s="19"/>
      <c r="Y104" s="19"/>
      <c r="Z104" s="47" t="str">
        <f aca="false">IF(COUNT(U104:X104)=0,"",SUM(U104:X104))</f>
        <v/>
      </c>
      <c r="AA104" s="48" t="str">
        <f aca="false">IF(OR(Z104="",N(T104)=0),"",Z104/T104)</f>
        <v/>
      </c>
      <c r="AB104" s="45"/>
      <c r="AC104" s="51" t="str">
        <f aca="false">IF(A104="","",A104+N(C104)+ROW()/10^7)</f>
        <v/>
      </c>
      <c r="AD104" s="51" t="str">
        <f aca="false">IF(A104="","",TEXT(A104,"0")&amp;"|"&amp;COUNTIFS('Content Log'!$A$5:$A$504,A104,'Content Log'!$AC$5:$AC$504,"&lt;="&amp;AC104))</f>
        <v/>
      </c>
      <c r="AE104" s="51" t="str">
        <f aca="false">IF(A104="","",IFERROR(INDEX(Setup!$N$9:$N$14,MATCH(O104,Setup!$M$9:$M$14,0))&amp;" ","")&amp;IF(C104="","",TEXT(C104,"h:mm AM/PM")&amp;" ")&amp;D104&amp;IF(H104="",""," · "&amp;H104))</f>
        <v/>
      </c>
      <c r="AF104" s="51" t="str">
        <f aca="false">IF(OR(A104="",AA104=""),"",IF(AND(A104&gt;=Dashboard!$G$4,A104&lt;=Dashboard!$I$4),AA104+ROW()/10^9,""))</f>
        <v/>
      </c>
      <c r="AG104" s="51" t="str">
        <f aca="false">IF(A104="","",WEEKDAY(A104,2))</f>
        <v/>
      </c>
    </row>
    <row r="105" customFormat="false" ht="15" hidden="false" customHeight="false" outlineLevel="0" collapsed="false">
      <c r="A105" s="43"/>
      <c r="B105" s="11" t="str">
        <f aca="false">IF(A105="","",TEXT(A105,"ddd"))</f>
        <v/>
      </c>
      <c r="C105" s="44"/>
      <c r="D105" s="16"/>
      <c r="E105" s="16"/>
      <c r="F105" s="16"/>
      <c r="G105" s="16"/>
      <c r="H105" s="45"/>
      <c r="I105" s="45"/>
      <c r="J105" s="11" t="str">
        <f aca="false">IF(I105="","",LEN(I105))</f>
        <v/>
      </c>
      <c r="K105" s="16"/>
      <c r="L105" s="16"/>
      <c r="M105" s="11" t="str">
        <f aca="false">IF(L105="","",IFERROR(INDEX('Hashtag Bank'!$E$5:$E$104,MATCH(L105,'Hashtag Bank'!$B$5:$B$104,0)),""))</f>
        <v/>
      </c>
      <c r="N105" s="16"/>
      <c r="O105" s="16"/>
      <c r="P105" s="16"/>
      <c r="Q105" s="46" t="str">
        <f aca="true">IF(A105&amp;H105="","",TRIM(IF(AND(A105&lt;&gt;"",A105&lt;TODAY(),O105&lt;&gt;"Published",O105&lt;&gt;"Repurpose"),"⚠ Overdue ","")&amp;IF(AND(J105&lt;&gt;"",D105&lt;&gt;"",IFERROR(J105&gt;INDEX(Setup!$E$9:$E$18,MATCH(D105,Setup!$B$9:$B$18,0)),FALSE())),"✂ Caption too long ","")&amp;IF(AND(M105&lt;&gt;"",D105&lt;&gt;"",IFERROR(M105&gt;INDEX(Setup!$F$9:$F$18,MATCH(D105,Setup!$B$9:$B$18,0)),FALSE())),"# Too many tags","")))</f>
        <v/>
      </c>
      <c r="R105" s="16"/>
      <c r="S105" s="19"/>
      <c r="T105" s="19"/>
      <c r="U105" s="19"/>
      <c r="V105" s="19"/>
      <c r="W105" s="19"/>
      <c r="X105" s="19"/>
      <c r="Y105" s="19"/>
      <c r="Z105" s="47" t="str">
        <f aca="false">IF(COUNT(U105:X105)=0,"",SUM(U105:X105))</f>
        <v/>
      </c>
      <c r="AA105" s="48" t="str">
        <f aca="false">IF(OR(Z105="",N(T105)=0),"",Z105/T105)</f>
        <v/>
      </c>
      <c r="AB105" s="45"/>
      <c r="AC105" s="51" t="str">
        <f aca="false">IF(A105="","",A105+N(C105)+ROW()/10^7)</f>
        <v/>
      </c>
      <c r="AD105" s="51" t="str">
        <f aca="false">IF(A105="","",TEXT(A105,"0")&amp;"|"&amp;COUNTIFS('Content Log'!$A$5:$A$504,A105,'Content Log'!$AC$5:$AC$504,"&lt;="&amp;AC105))</f>
        <v/>
      </c>
      <c r="AE105" s="51" t="str">
        <f aca="false">IF(A105="","",IFERROR(INDEX(Setup!$N$9:$N$14,MATCH(O105,Setup!$M$9:$M$14,0))&amp;" ","")&amp;IF(C105="","",TEXT(C105,"h:mm AM/PM")&amp;" ")&amp;D105&amp;IF(H105="",""," · "&amp;H105))</f>
        <v/>
      </c>
      <c r="AF105" s="51" t="str">
        <f aca="false">IF(OR(A105="",AA105=""),"",IF(AND(A105&gt;=Dashboard!$G$4,A105&lt;=Dashboard!$I$4),AA105+ROW()/10^9,""))</f>
        <v/>
      </c>
      <c r="AG105" s="51" t="str">
        <f aca="false">IF(A105="","",WEEKDAY(A105,2))</f>
        <v/>
      </c>
    </row>
    <row r="106" customFormat="false" ht="15" hidden="false" customHeight="false" outlineLevel="0" collapsed="false">
      <c r="A106" s="43"/>
      <c r="B106" s="11" t="str">
        <f aca="false">IF(A106="","",TEXT(A106,"ddd"))</f>
        <v/>
      </c>
      <c r="C106" s="44"/>
      <c r="D106" s="16"/>
      <c r="E106" s="16"/>
      <c r="F106" s="16"/>
      <c r="G106" s="16"/>
      <c r="H106" s="45"/>
      <c r="I106" s="45"/>
      <c r="J106" s="11" t="str">
        <f aca="false">IF(I106="","",LEN(I106))</f>
        <v/>
      </c>
      <c r="K106" s="16"/>
      <c r="L106" s="16"/>
      <c r="M106" s="11" t="str">
        <f aca="false">IF(L106="","",IFERROR(INDEX('Hashtag Bank'!$E$5:$E$104,MATCH(L106,'Hashtag Bank'!$B$5:$B$104,0)),""))</f>
        <v/>
      </c>
      <c r="N106" s="16"/>
      <c r="O106" s="16"/>
      <c r="P106" s="16"/>
      <c r="Q106" s="46" t="str">
        <f aca="true">IF(A106&amp;H106="","",TRIM(IF(AND(A106&lt;&gt;"",A106&lt;TODAY(),O106&lt;&gt;"Published",O106&lt;&gt;"Repurpose"),"⚠ Overdue ","")&amp;IF(AND(J106&lt;&gt;"",D106&lt;&gt;"",IFERROR(J106&gt;INDEX(Setup!$E$9:$E$18,MATCH(D106,Setup!$B$9:$B$18,0)),FALSE())),"✂ Caption too long ","")&amp;IF(AND(M106&lt;&gt;"",D106&lt;&gt;"",IFERROR(M106&gt;INDEX(Setup!$F$9:$F$18,MATCH(D106,Setup!$B$9:$B$18,0)),FALSE())),"# Too many tags","")))</f>
        <v/>
      </c>
      <c r="R106" s="16"/>
      <c r="S106" s="19"/>
      <c r="T106" s="19"/>
      <c r="U106" s="19"/>
      <c r="V106" s="19"/>
      <c r="W106" s="19"/>
      <c r="X106" s="19"/>
      <c r="Y106" s="19"/>
      <c r="Z106" s="47" t="str">
        <f aca="false">IF(COUNT(U106:X106)=0,"",SUM(U106:X106))</f>
        <v/>
      </c>
      <c r="AA106" s="48" t="str">
        <f aca="false">IF(OR(Z106="",N(T106)=0),"",Z106/T106)</f>
        <v/>
      </c>
      <c r="AB106" s="45"/>
      <c r="AC106" s="51" t="str">
        <f aca="false">IF(A106="","",A106+N(C106)+ROW()/10^7)</f>
        <v/>
      </c>
      <c r="AD106" s="51" t="str">
        <f aca="false">IF(A106="","",TEXT(A106,"0")&amp;"|"&amp;COUNTIFS('Content Log'!$A$5:$A$504,A106,'Content Log'!$AC$5:$AC$504,"&lt;="&amp;AC106))</f>
        <v/>
      </c>
      <c r="AE106" s="51" t="str">
        <f aca="false">IF(A106="","",IFERROR(INDEX(Setup!$N$9:$N$14,MATCH(O106,Setup!$M$9:$M$14,0))&amp;" ","")&amp;IF(C106="","",TEXT(C106,"h:mm AM/PM")&amp;" ")&amp;D106&amp;IF(H106="",""," · "&amp;H106))</f>
        <v/>
      </c>
      <c r="AF106" s="51" t="str">
        <f aca="false">IF(OR(A106="",AA106=""),"",IF(AND(A106&gt;=Dashboard!$G$4,A106&lt;=Dashboard!$I$4),AA106+ROW()/10^9,""))</f>
        <v/>
      </c>
      <c r="AG106" s="51" t="str">
        <f aca="false">IF(A106="","",WEEKDAY(A106,2))</f>
        <v/>
      </c>
    </row>
    <row r="107" customFormat="false" ht="15" hidden="false" customHeight="false" outlineLevel="0" collapsed="false">
      <c r="A107" s="43"/>
      <c r="B107" s="11" t="str">
        <f aca="false">IF(A107="","",TEXT(A107,"ddd"))</f>
        <v/>
      </c>
      <c r="C107" s="44"/>
      <c r="D107" s="16"/>
      <c r="E107" s="16"/>
      <c r="F107" s="16"/>
      <c r="G107" s="16"/>
      <c r="H107" s="45"/>
      <c r="I107" s="45"/>
      <c r="J107" s="11" t="str">
        <f aca="false">IF(I107="","",LEN(I107))</f>
        <v/>
      </c>
      <c r="K107" s="16"/>
      <c r="L107" s="16"/>
      <c r="M107" s="11" t="str">
        <f aca="false">IF(L107="","",IFERROR(INDEX('Hashtag Bank'!$E$5:$E$104,MATCH(L107,'Hashtag Bank'!$B$5:$B$104,0)),""))</f>
        <v/>
      </c>
      <c r="N107" s="16"/>
      <c r="O107" s="16"/>
      <c r="P107" s="16"/>
      <c r="Q107" s="46" t="str">
        <f aca="true">IF(A107&amp;H107="","",TRIM(IF(AND(A107&lt;&gt;"",A107&lt;TODAY(),O107&lt;&gt;"Published",O107&lt;&gt;"Repurpose"),"⚠ Overdue ","")&amp;IF(AND(J107&lt;&gt;"",D107&lt;&gt;"",IFERROR(J107&gt;INDEX(Setup!$E$9:$E$18,MATCH(D107,Setup!$B$9:$B$18,0)),FALSE())),"✂ Caption too long ","")&amp;IF(AND(M107&lt;&gt;"",D107&lt;&gt;"",IFERROR(M107&gt;INDEX(Setup!$F$9:$F$18,MATCH(D107,Setup!$B$9:$B$18,0)),FALSE())),"# Too many tags","")))</f>
        <v/>
      </c>
      <c r="R107" s="16"/>
      <c r="S107" s="19"/>
      <c r="T107" s="19"/>
      <c r="U107" s="19"/>
      <c r="V107" s="19"/>
      <c r="W107" s="19"/>
      <c r="X107" s="19"/>
      <c r="Y107" s="19"/>
      <c r="Z107" s="47" t="str">
        <f aca="false">IF(COUNT(U107:X107)=0,"",SUM(U107:X107))</f>
        <v/>
      </c>
      <c r="AA107" s="48" t="str">
        <f aca="false">IF(OR(Z107="",N(T107)=0),"",Z107/T107)</f>
        <v/>
      </c>
      <c r="AB107" s="45"/>
      <c r="AC107" s="51" t="str">
        <f aca="false">IF(A107="","",A107+N(C107)+ROW()/10^7)</f>
        <v/>
      </c>
      <c r="AD107" s="51" t="str">
        <f aca="false">IF(A107="","",TEXT(A107,"0")&amp;"|"&amp;COUNTIFS('Content Log'!$A$5:$A$504,A107,'Content Log'!$AC$5:$AC$504,"&lt;="&amp;AC107))</f>
        <v/>
      </c>
      <c r="AE107" s="51" t="str">
        <f aca="false">IF(A107="","",IFERROR(INDEX(Setup!$N$9:$N$14,MATCH(O107,Setup!$M$9:$M$14,0))&amp;" ","")&amp;IF(C107="","",TEXT(C107,"h:mm AM/PM")&amp;" ")&amp;D107&amp;IF(H107="",""," · "&amp;H107))</f>
        <v/>
      </c>
      <c r="AF107" s="51" t="str">
        <f aca="false">IF(OR(A107="",AA107=""),"",IF(AND(A107&gt;=Dashboard!$G$4,A107&lt;=Dashboard!$I$4),AA107+ROW()/10^9,""))</f>
        <v/>
      </c>
      <c r="AG107" s="51" t="str">
        <f aca="false">IF(A107="","",WEEKDAY(A107,2))</f>
        <v/>
      </c>
    </row>
    <row r="108" customFormat="false" ht="15" hidden="false" customHeight="false" outlineLevel="0" collapsed="false">
      <c r="A108" s="43"/>
      <c r="B108" s="11" t="str">
        <f aca="false">IF(A108="","",TEXT(A108,"ddd"))</f>
        <v/>
      </c>
      <c r="C108" s="44"/>
      <c r="D108" s="16"/>
      <c r="E108" s="16"/>
      <c r="F108" s="16"/>
      <c r="G108" s="16"/>
      <c r="H108" s="45"/>
      <c r="I108" s="45"/>
      <c r="J108" s="11" t="str">
        <f aca="false">IF(I108="","",LEN(I108))</f>
        <v/>
      </c>
      <c r="K108" s="16"/>
      <c r="L108" s="16"/>
      <c r="M108" s="11" t="str">
        <f aca="false">IF(L108="","",IFERROR(INDEX('Hashtag Bank'!$E$5:$E$104,MATCH(L108,'Hashtag Bank'!$B$5:$B$104,0)),""))</f>
        <v/>
      </c>
      <c r="N108" s="16"/>
      <c r="O108" s="16"/>
      <c r="P108" s="16"/>
      <c r="Q108" s="46" t="str">
        <f aca="true">IF(A108&amp;H108="","",TRIM(IF(AND(A108&lt;&gt;"",A108&lt;TODAY(),O108&lt;&gt;"Published",O108&lt;&gt;"Repurpose"),"⚠ Overdue ","")&amp;IF(AND(J108&lt;&gt;"",D108&lt;&gt;"",IFERROR(J108&gt;INDEX(Setup!$E$9:$E$18,MATCH(D108,Setup!$B$9:$B$18,0)),FALSE())),"✂ Caption too long ","")&amp;IF(AND(M108&lt;&gt;"",D108&lt;&gt;"",IFERROR(M108&gt;INDEX(Setup!$F$9:$F$18,MATCH(D108,Setup!$B$9:$B$18,0)),FALSE())),"# Too many tags","")))</f>
        <v/>
      </c>
      <c r="R108" s="16"/>
      <c r="S108" s="19"/>
      <c r="T108" s="19"/>
      <c r="U108" s="19"/>
      <c r="V108" s="19"/>
      <c r="W108" s="19"/>
      <c r="X108" s="19"/>
      <c r="Y108" s="19"/>
      <c r="Z108" s="47" t="str">
        <f aca="false">IF(COUNT(U108:X108)=0,"",SUM(U108:X108))</f>
        <v/>
      </c>
      <c r="AA108" s="48" t="str">
        <f aca="false">IF(OR(Z108="",N(T108)=0),"",Z108/T108)</f>
        <v/>
      </c>
      <c r="AB108" s="45"/>
      <c r="AC108" s="51" t="str">
        <f aca="false">IF(A108="","",A108+N(C108)+ROW()/10^7)</f>
        <v/>
      </c>
      <c r="AD108" s="51" t="str">
        <f aca="false">IF(A108="","",TEXT(A108,"0")&amp;"|"&amp;COUNTIFS('Content Log'!$A$5:$A$504,A108,'Content Log'!$AC$5:$AC$504,"&lt;="&amp;AC108))</f>
        <v/>
      </c>
      <c r="AE108" s="51" t="str">
        <f aca="false">IF(A108="","",IFERROR(INDEX(Setup!$N$9:$N$14,MATCH(O108,Setup!$M$9:$M$14,0))&amp;" ","")&amp;IF(C108="","",TEXT(C108,"h:mm AM/PM")&amp;" ")&amp;D108&amp;IF(H108="",""," · "&amp;H108))</f>
        <v/>
      </c>
      <c r="AF108" s="51" t="str">
        <f aca="false">IF(OR(A108="",AA108=""),"",IF(AND(A108&gt;=Dashboard!$G$4,A108&lt;=Dashboard!$I$4),AA108+ROW()/10^9,""))</f>
        <v/>
      </c>
      <c r="AG108" s="51" t="str">
        <f aca="false">IF(A108="","",WEEKDAY(A108,2))</f>
        <v/>
      </c>
    </row>
    <row r="109" customFormat="false" ht="15" hidden="false" customHeight="false" outlineLevel="0" collapsed="false">
      <c r="A109" s="43"/>
      <c r="B109" s="11" t="str">
        <f aca="false">IF(A109="","",TEXT(A109,"ddd"))</f>
        <v/>
      </c>
      <c r="C109" s="44"/>
      <c r="D109" s="16"/>
      <c r="E109" s="16"/>
      <c r="F109" s="16"/>
      <c r="G109" s="16"/>
      <c r="H109" s="45"/>
      <c r="I109" s="45"/>
      <c r="J109" s="11" t="str">
        <f aca="false">IF(I109="","",LEN(I109))</f>
        <v/>
      </c>
      <c r="K109" s="16"/>
      <c r="L109" s="16"/>
      <c r="M109" s="11" t="str">
        <f aca="false">IF(L109="","",IFERROR(INDEX('Hashtag Bank'!$E$5:$E$104,MATCH(L109,'Hashtag Bank'!$B$5:$B$104,0)),""))</f>
        <v/>
      </c>
      <c r="N109" s="16"/>
      <c r="O109" s="16"/>
      <c r="P109" s="16"/>
      <c r="Q109" s="46" t="str">
        <f aca="true">IF(A109&amp;H109="","",TRIM(IF(AND(A109&lt;&gt;"",A109&lt;TODAY(),O109&lt;&gt;"Published",O109&lt;&gt;"Repurpose"),"⚠ Overdue ","")&amp;IF(AND(J109&lt;&gt;"",D109&lt;&gt;"",IFERROR(J109&gt;INDEX(Setup!$E$9:$E$18,MATCH(D109,Setup!$B$9:$B$18,0)),FALSE())),"✂ Caption too long ","")&amp;IF(AND(M109&lt;&gt;"",D109&lt;&gt;"",IFERROR(M109&gt;INDEX(Setup!$F$9:$F$18,MATCH(D109,Setup!$B$9:$B$18,0)),FALSE())),"# Too many tags","")))</f>
        <v/>
      </c>
      <c r="R109" s="16"/>
      <c r="S109" s="19"/>
      <c r="T109" s="19"/>
      <c r="U109" s="19"/>
      <c r="V109" s="19"/>
      <c r="W109" s="19"/>
      <c r="X109" s="19"/>
      <c r="Y109" s="19"/>
      <c r="Z109" s="47" t="str">
        <f aca="false">IF(COUNT(U109:X109)=0,"",SUM(U109:X109))</f>
        <v/>
      </c>
      <c r="AA109" s="48" t="str">
        <f aca="false">IF(OR(Z109="",N(T109)=0),"",Z109/T109)</f>
        <v/>
      </c>
      <c r="AB109" s="45"/>
      <c r="AC109" s="51" t="str">
        <f aca="false">IF(A109="","",A109+N(C109)+ROW()/10^7)</f>
        <v/>
      </c>
      <c r="AD109" s="51" t="str">
        <f aca="false">IF(A109="","",TEXT(A109,"0")&amp;"|"&amp;COUNTIFS('Content Log'!$A$5:$A$504,A109,'Content Log'!$AC$5:$AC$504,"&lt;="&amp;AC109))</f>
        <v/>
      </c>
      <c r="AE109" s="51" t="str">
        <f aca="false">IF(A109="","",IFERROR(INDEX(Setup!$N$9:$N$14,MATCH(O109,Setup!$M$9:$M$14,0))&amp;" ","")&amp;IF(C109="","",TEXT(C109,"h:mm AM/PM")&amp;" ")&amp;D109&amp;IF(H109="",""," · "&amp;H109))</f>
        <v/>
      </c>
      <c r="AF109" s="51" t="str">
        <f aca="false">IF(OR(A109="",AA109=""),"",IF(AND(A109&gt;=Dashboard!$G$4,A109&lt;=Dashboard!$I$4),AA109+ROW()/10^9,""))</f>
        <v/>
      </c>
      <c r="AG109" s="51" t="str">
        <f aca="false">IF(A109="","",WEEKDAY(A109,2))</f>
        <v/>
      </c>
    </row>
    <row r="110" customFormat="false" ht="15" hidden="false" customHeight="false" outlineLevel="0" collapsed="false">
      <c r="A110" s="43"/>
      <c r="B110" s="11" t="str">
        <f aca="false">IF(A110="","",TEXT(A110,"ddd"))</f>
        <v/>
      </c>
      <c r="C110" s="44"/>
      <c r="D110" s="16"/>
      <c r="E110" s="16"/>
      <c r="F110" s="16"/>
      <c r="G110" s="16"/>
      <c r="H110" s="45"/>
      <c r="I110" s="45"/>
      <c r="J110" s="11" t="str">
        <f aca="false">IF(I110="","",LEN(I110))</f>
        <v/>
      </c>
      <c r="K110" s="16"/>
      <c r="L110" s="16"/>
      <c r="M110" s="11" t="str">
        <f aca="false">IF(L110="","",IFERROR(INDEX('Hashtag Bank'!$E$5:$E$104,MATCH(L110,'Hashtag Bank'!$B$5:$B$104,0)),""))</f>
        <v/>
      </c>
      <c r="N110" s="16"/>
      <c r="O110" s="16"/>
      <c r="P110" s="16"/>
      <c r="Q110" s="46" t="str">
        <f aca="true">IF(A110&amp;H110="","",TRIM(IF(AND(A110&lt;&gt;"",A110&lt;TODAY(),O110&lt;&gt;"Published",O110&lt;&gt;"Repurpose"),"⚠ Overdue ","")&amp;IF(AND(J110&lt;&gt;"",D110&lt;&gt;"",IFERROR(J110&gt;INDEX(Setup!$E$9:$E$18,MATCH(D110,Setup!$B$9:$B$18,0)),FALSE())),"✂ Caption too long ","")&amp;IF(AND(M110&lt;&gt;"",D110&lt;&gt;"",IFERROR(M110&gt;INDEX(Setup!$F$9:$F$18,MATCH(D110,Setup!$B$9:$B$18,0)),FALSE())),"# Too many tags","")))</f>
        <v/>
      </c>
      <c r="R110" s="16"/>
      <c r="S110" s="19"/>
      <c r="T110" s="19"/>
      <c r="U110" s="19"/>
      <c r="V110" s="19"/>
      <c r="W110" s="19"/>
      <c r="X110" s="19"/>
      <c r="Y110" s="19"/>
      <c r="Z110" s="47" t="str">
        <f aca="false">IF(COUNT(U110:X110)=0,"",SUM(U110:X110))</f>
        <v/>
      </c>
      <c r="AA110" s="48" t="str">
        <f aca="false">IF(OR(Z110="",N(T110)=0),"",Z110/T110)</f>
        <v/>
      </c>
      <c r="AB110" s="45"/>
      <c r="AC110" s="51" t="str">
        <f aca="false">IF(A110="","",A110+N(C110)+ROW()/10^7)</f>
        <v/>
      </c>
      <c r="AD110" s="51" t="str">
        <f aca="false">IF(A110="","",TEXT(A110,"0")&amp;"|"&amp;COUNTIFS('Content Log'!$A$5:$A$504,A110,'Content Log'!$AC$5:$AC$504,"&lt;="&amp;AC110))</f>
        <v/>
      </c>
      <c r="AE110" s="51" t="str">
        <f aca="false">IF(A110="","",IFERROR(INDEX(Setup!$N$9:$N$14,MATCH(O110,Setup!$M$9:$M$14,0))&amp;" ","")&amp;IF(C110="","",TEXT(C110,"h:mm AM/PM")&amp;" ")&amp;D110&amp;IF(H110="",""," · "&amp;H110))</f>
        <v/>
      </c>
      <c r="AF110" s="51" t="str">
        <f aca="false">IF(OR(A110="",AA110=""),"",IF(AND(A110&gt;=Dashboard!$G$4,A110&lt;=Dashboard!$I$4),AA110+ROW()/10^9,""))</f>
        <v/>
      </c>
      <c r="AG110" s="51" t="str">
        <f aca="false">IF(A110="","",WEEKDAY(A110,2))</f>
        <v/>
      </c>
    </row>
    <row r="111" customFormat="false" ht="15" hidden="false" customHeight="false" outlineLevel="0" collapsed="false">
      <c r="A111" s="43"/>
      <c r="B111" s="11" t="str">
        <f aca="false">IF(A111="","",TEXT(A111,"ddd"))</f>
        <v/>
      </c>
      <c r="C111" s="44"/>
      <c r="D111" s="16"/>
      <c r="E111" s="16"/>
      <c r="F111" s="16"/>
      <c r="G111" s="16"/>
      <c r="H111" s="45"/>
      <c r="I111" s="45"/>
      <c r="J111" s="11" t="str">
        <f aca="false">IF(I111="","",LEN(I111))</f>
        <v/>
      </c>
      <c r="K111" s="16"/>
      <c r="L111" s="16"/>
      <c r="M111" s="11" t="str">
        <f aca="false">IF(L111="","",IFERROR(INDEX('Hashtag Bank'!$E$5:$E$104,MATCH(L111,'Hashtag Bank'!$B$5:$B$104,0)),""))</f>
        <v/>
      </c>
      <c r="N111" s="16"/>
      <c r="O111" s="16"/>
      <c r="P111" s="16"/>
      <c r="Q111" s="46" t="str">
        <f aca="true">IF(A111&amp;H111="","",TRIM(IF(AND(A111&lt;&gt;"",A111&lt;TODAY(),O111&lt;&gt;"Published",O111&lt;&gt;"Repurpose"),"⚠ Overdue ","")&amp;IF(AND(J111&lt;&gt;"",D111&lt;&gt;"",IFERROR(J111&gt;INDEX(Setup!$E$9:$E$18,MATCH(D111,Setup!$B$9:$B$18,0)),FALSE())),"✂ Caption too long ","")&amp;IF(AND(M111&lt;&gt;"",D111&lt;&gt;"",IFERROR(M111&gt;INDEX(Setup!$F$9:$F$18,MATCH(D111,Setup!$B$9:$B$18,0)),FALSE())),"# Too many tags","")))</f>
        <v/>
      </c>
      <c r="R111" s="16"/>
      <c r="S111" s="19"/>
      <c r="T111" s="19"/>
      <c r="U111" s="19"/>
      <c r="V111" s="19"/>
      <c r="W111" s="19"/>
      <c r="X111" s="19"/>
      <c r="Y111" s="19"/>
      <c r="Z111" s="47" t="str">
        <f aca="false">IF(COUNT(U111:X111)=0,"",SUM(U111:X111))</f>
        <v/>
      </c>
      <c r="AA111" s="48" t="str">
        <f aca="false">IF(OR(Z111="",N(T111)=0),"",Z111/T111)</f>
        <v/>
      </c>
      <c r="AB111" s="45"/>
      <c r="AC111" s="51" t="str">
        <f aca="false">IF(A111="","",A111+N(C111)+ROW()/10^7)</f>
        <v/>
      </c>
      <c r="AD111" s="51" t="str">
        <f aca="false">IF(A111="","",TEXT(A111,"0")&amp;"|"&amp;COUNTIFS('Content Log'!$A$5:$A$504,A111,'Content Log'!$AC$5:$AC$504,"&lt;="&amp;AC111))</f>
        <v/>
      </c>
      <c r="AE111" s="51" t="str">
        <f aca="false">IF(A111="","",IFERROR(INDEX(Setup!$N$9:$N$14,MATCH(O111,Setup!$M$9:$M$14,0))&amp;" ","")&amp;IF(C111="","",TEXT(C111,"h:mm AM/PM")&amp;" ")&amp;D111&amp;IF(H111="",""," · "&amp;H111))</f>
        <v/>
      </c>
      <c r="AF111" s="51" t="str">
        <f aca="false">IF(OR(A111="",AA111=""),"",IF(AND(A111&gt;=Dashboard!$G$4,A111&lt;=Dashboard!$I$4),AA111+ROW()/10^9,""))</f>
        <v/>
      </c>
      <c r="AG111" s="51" t="str">
        <f aca="false">IF(A111="","",WEEKDAY(A111,2))</f>
        <v/>
      </c>
    </row>
    <row r="112" customFormat="false" ht="15" hidden="false" customHeight="false" outlineLevel="0" collapsed="false">
      <c r="A112" s="43"/>
      <c r="B112" s="11" t="str">
        <f aca="false">IF(A112="","",TEXT(A112,"ddd"))</f>
        <v/>
      </c>
      <c r="C112" s="44"/>
      <c r="D112" s="16"/>
      <c r="E112" s="16"/>
      <c r="F112" s="16"/>
      <c r="G112" s="16"/>
      <c r="H112" s="45"/>
      <c r="I112" s="45"/>
      <c r="J112" s="11" t="str">
        <f aca="false">IF(I112="","",LEN(I112))</f>
        <v/>
      </c>
      <c r="K112" s="16"/>
      <c r="L112" s="16"/>
      <c r="M112" s="11" t="str">
        <f aca="false">IF(L112="","",IFERROR(INDEX('Hashtag Bank'!$E$5:$E$104,MATCH(L112,'Hashtag Bank'!$B$5:$B$104,0)),""))</f>
        <v/>
      </c>
      <c r="N112" s="16"/>
      <c r="O112" s="16"/>
      <c r="P112" s="16"/>
      <c r="Q112" s="46" t="str">
        <f aca="true">IF(A112&amp;H112="","",TRIM(IF(AND(A112&lt;&gt;"",A112&lt;TODAY(),O112&lt;&gt;"Published",O112&lt;&gt;"Repurpose"),"⚠ Overdue ","")&amp;IF(AND(J112&lt;&gt;"",D112&lt;&gt;"",IFERROR(J112&gt;INDEX(Setup!$E$9:$E$18,MATCH(D112,Setup!$B$9:$B$18,0)),FALSE())),"✂ Caption too long ","")&amp;IF(AND(M112&lt;&gt;"",D112&lt;&gt;"",IFERROR(M112&gt;INDEX(Setup!$F$9:$F$18,MATCH(D112,Setup!$B$9:$B$18,0)),FALSE())),"# Too many tags","")))</f>
        <v/>
      </c>
      <c r="R112" s="16"/>
      <c r="S112" s="19"/>
      <c r="T112" s="19"/>
      <c r="U112" s="19"/>
      <c r="V112" s="19"/>
      <c r="W112" s="19"/>
      <c r="X112" s="19"/>
      <c r="Y112" s="19"/>
      <c r="Z112" s="47" t="str">
        <f aca="false">IF(COUNT(U112:X112)=0,"",SUM(U112:X112))</f>
        <v/>
      </c>
      <c r="AA112" s="48" t="str">
        <f aca="false">IF(OR(Z112="",N(T112)=0),"",Z112/T112)</f>
        <v/>
      </c>
      <c r="AB112" s="45"/>
      <c r="AC112" s="51" t="str">
        <f aca="false">IF(A112="","",A112+N(C112)+ROW()/10^7)</f>
        <v/>
      </c>
      <c r="AD112" s="51" t="str">
        <f aca="false">IF(A112="","",TEXT(A112,"0")&amp;"|"&amp;COUNTIFS('Content Log'!$A$5:$A$504,A112,'Content Log'!$AC$5:$AC$504,"&lt;="&amp;AC112))</f>
        <v/>
      </c>
      <c r="AE112" s="51" t="str">
        <f aca="false">IF(A112="","",IFERROR(INDEX(Setup!$N$9:$N$14,MATCH(O112,Setup!$M$9:$M$14,0))&amp;" ","")&amp;IF(C112="","",TEXT(C112,"h:mm AM/PM")&amp;" ")&amp;D112&amp;IF(H112="",""," · "&amp;H112))</f>
        <v/>
      </c>
      <c r="AF112" s="51" t="str">
        <f aca="false">IF(OR(A112="",AA112=""),"",IF(AND(A112&gt;=Dashboard!$G$4,A112&lt;=Dashboard!$I$4),AA112+ROW()/10^9,""))</f>
        <v/>
      </c>
      <c r="AG112" s="51" t="str">
        <f aca="false">IF(A112="","",WEEKDAY(A112,2))</f>
        <v/>
      </c>
    </row>
    <row r="113" customFormat="false" ht="15" hidden="false" customHeight="false" outlineLevel="0" collapsed="false">
      <c r="A113" s="43"/>
      <c r="B113" s="11" t="str">
        <f aca="false">IF(A113="","",TEXT(A113,"ddd"))</f>
        <v/>
      </c>
      <c r="C113" s="44"/>
      <c r="D113" s="16"/>
      <c r="E113" s="16"/>
      <c r="F113" s="16"/>
      <c r="G113" s="16"/>
      <c r="H113" s="45"/>
      <c r="I113" s="45"/>
      <c r="J113" s="11" t="str">
        <f aca="false">IF(I113="","",LEN(I113))</f>
        <v/>
      </c>
      <c r="K113" s="16"/>
      <c r="L113" s="16"/>
      <c r="M113" s="11" t="str">
        <f aca="false">IF(L113="","",IFERROR(INDEX('Hashtag Bank'!$E$5:$E$104,MATCH(L113,'Hashtag Bank'!$B$5:$B$104,0)),""))</f>
        <v/>
      </c>
      <c r="N113" s="16"/>
      <c r="O113" s="16"/>
      <c r="P113" s="16"/>
      <c r="Q113" s="46" t="str">
        <f aca="true">IF(A113&amp;H113="","",TRIM(IF(AND(A113&lt;&gt;"",A113&lt;TODAY(),O113&lt;&gt;"Published",O113&lt;&gt;"Repurpose"),"⚠ Overdue ","")&amp;IF(AND(J113&lt;&gt;"",D113&lt;&gt;"",IFERROR(J113&gt;INDEX(Setup!$E$9:$E$18,MATCH(D113,Setup!$B$9:$B$18,0)),FALSE())),"✂ Caption too long ","")&amp;IF(AND(M113&lt;&gt;"",D113&lt;&gt;"",IFERROR(M113&gt;INDEX(Setup!$F$9:$F$18,MATCH(D113,Setup!$B$9:$B$18,0)),FALSE())),"# Too many tags","")))</f>
        <v/>
      </c>
      <c r="R113" s="16"/>
      <c r="S113" s="19"/>
      <c r="T113" s="19"/>
      <c r="U113" s="19"/>
      <c r="V113" s="19"/>
      <c r="W113" s="19"/>
      <c r="X113" s="19"/>
      <c r="Y113" s="19"/>
      <c r="Z113" s="47" t="str">
        <f aca="false">IF(COUNT(U113:X113)=0,"",SUM(U113:X113))</f>
        <v/>
      </c>
      <c r="AA113" s="48" t="str">
        <f aca="false">IF(OR(Z113="",N(T113)=0),"",Z113/T113)</f>
        <v/>
      </c>
      <c r="AB113" s="45"/>
      <c r="AC113" s="51" t="str">
        <f aca="false">IF(A113="","",A113+N(C113)+ROW()/10^7)</f>
        <v/>
      </c>
      <c r="AD113" s="51" t="str">
        <f aca="false">IF(A113="","",TEXT(A113,"0")&amp;"|"&amp;COUNTIFS('Content Log'!$A$5:$A$504,A113,'Content Log'!$AC$5:$AC$504,"&lt;="&amp;AC113))</f>
        <v/>
      </c>
      <c r="AE113" s="51" t="str">
        <f aca="false">IF(A113="","",IFERROR(INDEX(Setup!$N$9:$N$14,MATCH(O113,Setup!$M$9:$M$14,0))&amp;" ","")&amp;IF(C113="","",TEXT(C113,"h:mm AM/PM")&amp;" ")&amp;D113&amp;IF(H113="",""," · "&amp;H113))</f>
        <v/>
      </c>
      <c r="AF113" s="51" t="str">
        <f aca="false">IF(OR(A113="",AA113=""),"",IF(AND(A113&gt;=Dashboard!$G$4,A113&lt;=Dashboard!$I$4),AA113+ROW()/10^9,""))</f>
        <v/>
      </c>
      <c r="AG113" s="51" t="str">
        <f aca="false">IF(A113="","",WEEKDAY(A113,2))</f>
        <v/>
      </c>
    </row>
    <row r="114" customFormat="false" ht="15" hidden="false" customHeight="false" outlineLevel="0" collapsed="false">
      <c r="A114" s="43"/>
      <c r="B114" s="11" t="str">
        <f aca="false">IF(A114="","",TEXT(A114,"ddd"))</f>
        <v/>
      </c>
      <c r="C114" s="44"/>
      <c r="D114" s="16"/>
      <c r="E114" s="16"/>
      <c r="F114" s="16"/>
      <c r="G114" s="16"/>
      <c r="H114" s="45"/>
      <c r="I114" s="45"/>
      <c r="J114" s="11" t="str">
        <f aca="false">IF(I114="","",LEN(I114))</f>
        <v/>
      </c>
      <c r="K114" s="16"/>
      <c r="L114" s="16"/>
      <c r="M114" s="11" t="str">
        <f aca="false">IF(L114="","",IFERROR(INDEX('Hashtag Bank'!$E$5:$E$104,MATCH(L114,'Hashtag Bank'!$B$5:$B$104,0)),""))</f>
        <v/>
      </c>
      <c r="N114" s="16"/>
      <c r="O114" s="16"/>
      <c r="P114" s="16"/>
      <c r="Q114" s="46" t="str">
        <f aca="true">IF(A114&amp;H114="","",TRIM(IF(AND(A114&lt;&gt;"",A114&lt;TODAY(),O114&lt;&gt;"Published",O114&lt;&gt;"Repurpose"),"⚠ Overdue ","")&amp;IF(AND(J114&lt;&gt;"",D114&lt;&gt;"",IFERROR(J114&gt;INDEX(Setup!$E$9:$E$18,MATCH(D114,Setup!$B$9:$B$18,0)),FALSE())),"✂ Caption too long ","")&amp;IF(AND(M114&lt;&gt;"",D114&lt;&gt;"",IFERROR(M114&gt;INDEX(Setup!$F$9:$F$18,MATCH(D114,Setup!$B$9:$B$18,0)),FALSE())),"# Too many tags","")))</f>
        <v/>
      </c>
      <c r="R114" s="16"/>
      <c r="S114" s="19"/>
      <c r="T114" s="19"/>
      <c r="U114" s="19"/>
      <c r="V114" s="19"/>
      <c r="W114" s="19"/>
      <c r="X114" s="19"/>
      <c r="Y114" s="19"/>
      <c r="Z114" s="47" t="str">
        <f aca="false">IF(COUNT(U114:X114)=0,"",SUM(U114:X114))</f>
        <v/>
      </c>
      <c r="AA114" s="48" t="str">
        <f aca="false">IF(OR(Z114="",N(T114)=0),"",Z114/T114)</f>
        <v/>
      </c>
      <c r="AB114" s="45"/>
      <c r="AC114" s="51" t="str">
        <f aca="false">IF(A114="","",A114+N(C114)+ROW()/10^7)</f>
        <v/>
      </c>
      <c r="AD114" s="51" t="str">
        <f aca="false">IF(A114="","",TEXT(A114,"0")&amp;"|"&amp;COUNTIFS('Content Log'!$A$5:$A$504,A114,'Content Log'!$AC$5:$AC$504,"&lt;="&amp;AC114))</f>
        <v/>
      </c>
      <c r="AE114" s="51" t="str">
        <f aca="false">IF(A114="","",IFERROR(INDEX(Setup!$N$9:$N$14,MATCH(O114,Setup!$M$9:$M$14,0))&amp;" ","")&amp;IF(C114="","",TEXT(C114,"h:mm AM/PM")&amp;" ")&amp;D114&amp;IF(H114="",""," · "&amp;H114))</f>
        <v/>
      </c>
      <c r="AF114" s="51" t="str">
        <f aca="false">IF(OR(A114="",AA114=""),"",IF(AND(A114&gt;=Dashboard!$G$4,A114&lt;=Dashboard!$I$4),AA114+ROW()/10^9,""))</f>
        <v/>
      </c>
      <c r="AG114" s="51" t="str">
        <f aca="false">IF(A114="","",WEEKDAY(A114,2))</f>
        <v/>
      </c>
    </row>
    <row r="115" customFormat="false" ht="15" hidden="false" customHeight="false" outlineLevel="0" collapsed="false">
      <c r="A115" s="43"/>
      <c r="B115" s="11" t="str">
        <f aca="false">IF(A115="","",TEXT(A115,"ddd"))</f>
        <v/>
      </c>
      <c r="C115" s="44"/>
      <c r="D115" s="16"/>
      <c r="E115" s="16"/>
      <c r="F115" s="16"/>
      <c r="G115" s="16"/>
      <c r="H115" s="45"/>
      <c r="I115" s="45"/>
      <c r="J115" s="11" t="str">
        <f aca="false">IF(I115="","",LEN(I115))</f>
        <v/>
      </c>
      <c r="K115" s="16"/>
      <c r="L115" s="16"/>
      <c r="M115" s="11" t="str">
        <f aca="false">IF(L115="","",IFERROR(INDEX('Hashtag Bank'!$E$5:$E$104,MATCH(L115,'Hashtag Bank'!$B$5:$B$104,0)),""))</f>
        <v/>
      </c>
      <c r="N115" s="16"/>
      <c r="O115" s="16"/>
      <c r="P115" s="16"/>
      <c r="Q115" s="46" t="str">
        <f aca="true">IF(A115&amp;H115="","",TRIM(IF(AND(A115&lt;&gt;"",A115&lt;TODAY(),O115&lt;&gt;"Published",O115&lt;&gt;"Repurpose"),"⚠ Overdue ","")&amp;IF(AND(J115&lt;&gt;"",D115&lt;&gt;"",IFERROR(J115&gt;INDEX(Setup!$E$9:$E$18,MATCH(D115,Setup!$B$9:$B$18,0)),FALSE())),"✂ Caption too long ","")&amp;IF(AND(M115&lt;&gt;"",D115&lt;&gt;"",IFERROR(M115&gt;INDEX(Setup!$F$9:$F$18,MATCH(D115,Setup!$B$9:$B$18,0)),FALSE())),"# Too many tags","")))</f>
        <v/>
      </c>
      <c r="R115" s="16"/>
      <c r="S115" s="19"/>
      <c r="T115" s="19"/>
      <c r="U115" s="19"/>
      <c r="V115" s="19"/>
      <c r="W115" s="19"/>
      <c r="X115" s="19"/>
      <c r="Y115" s="19"/>
      <c r="Z115" s="47" t="str">
        <f aca="false">IF(COUNT(U115:X115)=0,"",SUM(U115:X115))</f>
        <v/>
      </c>
      <c r="AA115" s="48" t="str">
        <f aca="false">IF(OR(Z115="",N(T115)=0),"",Z115/T115)</f>
        <v/>
      </c>
      <c r="AB115" s="45"/>
      <c r="AC115" s="51" t="str">
        <f aca="false">IF(A115="","",A115+N(C115)+ROW()/10^7)</f>
        <v/>
      </c>
      <c r="AD115" s="51" t="str">
        <f aca="false">IF(A115="","",TEXT(A115,"0")&amp;"|"&amp;COUNTIFS('Content Log'!$A$5:$A$504,A115,'Content Log'!$AC$5:$AC$504,"&lt;="&amp;AC115))</f>
        <v/>
      </c>
      <c r="AE115" s="51" t="str">
        <f aca="false">IF(A115="","",IFERROR(INDEX(Setup!$N$9:$N$14,MATCH(O115,Setup!$M$9:$M$14,0))&amp;" ","")&amp;IF(C115="","",TEXT(C115,"h:mm AM/PM")&amp;" ")&amp;D115&amp;IF(H115="",""," · "&amp;H115))</f>
        <v/>
      </c>
      <c r="AF115" s="51" t="str">
        <f aca="false">IF(OR(A115="",AA115=""),"",IF(AND(A115&gt;=Dashboard!$G$4,A115&lt;=Dashboard!$I$4),AA115+ROW()/10^9,""))</f>
        <v/>
      </c>
      <c r="AG115" s="51" t="str">
        <f aca="false">IF(A115="","",WEEKDAY(A115,2))</f>
        <v/>
      </c>
    </row>
    <row r="116" customFormat="false" ht="15" hidden="false" customHeight="false" outlineLevel="0" collapsed="false">
      <c r="A116" s="43"/>
      <c r="B116" s="11" t="str">
        <f aca="false">IF(A116="","",TEXT(A116,"ddd"))</f>
        <v/>
      </c>
      <c r="C116" s="44"/>
      <c r="D116" s="16"/>
      <c r="E116" s="16"/>
      <c r="F116" s="16"/>
      <c r="G116" s="16"/>
      <c r="H116" s="45"/>
      <c r="I116" s="45"/>
      <c r="J116" s="11" t="str">
        <f aca="false">IF(I116="","",LEN(I116))</f>
        <v/>
      </c>
      <c r="K116" s="16"/>
      <c r="L116" s="16"/>
      <c r="M116" s="11" t="str">
        <f aca="false">IF(L116="","",IFERROR(INDEX('Hashtag Bank'!$E$5:$E$104,MATCH(L116,'Hashtag Bank'!$B$5:$B$104,0)),""))</f>
        <v/>
      </c>
      <c r="N116" s="16"/>
      <c r="O116" s="16"/>
      <c r="P116" s="16"/>
      <c r="Q116" s="46" t="str">
        <f aca="true">IF(A116&amp;H116="","",TRIM(IF(AND(A116&lt;&gt;"",A116&lt;TODAY(),O116&lt;&gt;"Published",O116&lt;&gt;"Repurpose"),"⚠ Overdue ","")&amp;IF(AND(J116&lt;&gt;"",D116&lt;&gt;"",IFERROR(J116&gt;INDEX(Setup!$E$9:$E$18,MATCH(D116,Setup!$B$9:$B$18,0)),FALSE())),"✂ Caption too long ","")&amp;IF(AND(M116&lt;&gt;"",D116&lt;&gt;"",IFERROR(M116&gt;INDEX(Setup!$F$9:$F$18,MATCH(D116,Setup!$B$9:$B$18,0)),FALSE())),"# Too many tags","")))</f>
        <v/>
      </c>
      <c r="R116" s="16"/>
      <c r="S116" s="19"/>
      <c r="T116" s="19"/>
      <c r="U116" s="19"/>
      <c r="V116" s="19"/>
      <c r="W116" s="19"/>
      <c r="X116" s="19"/>
      <c r="Y116" s="19"/>
      <c r="Z116" s="47" t="str">
        <f aca="false">IF(COUNT(U116:X116)=0,"",SUM(U116:X116))</f>
        <v/>
      </c>
      <c r="AA116" s="48" t="str">
        <f aca="false">IF(OR(Z116="",N(T116)=0),"",Z116/T116)</f>
        <v/>
      </c>
      <c r="AB116" s="45"/>
      <c r="AC116" s="51" t="str">
        <f aca="false">IF(A116="","",A116+N(C116)+ROW()/10^7)</f>
        <v/>
      </c>
      <c r="AD116" s="51" t="str">
        <f aca="false">IF(A116="","",TEXT(A116,"0")&amp;"|"&amp;COUNTIFS('Content Log'!$A$5:$A$504,A116,'Content Log'!$AC$5:$AC$504,"&lt;="&amp;AC116))</f>
        <v/>
      </c>
      <c r="AE116" s="51" t="str">
        <f aca="false">IF(A116="","",IFERROR(INDEX(Setup!$N$9:$N$14,MATCH(O116,Setup!$M$9:$M$14,0))&amp;" ","")&amp;IF(C116="","",TEXT(C116,"h:mm AM/PM")&amp;" ")&amp;D116&amp;IF(H116="",""," · "&amp;H116))</f>
        <v/>
      </c>
      <c r="AF116" s="51" t="str">
        <f aca="false">IF(OR(A116="",AA116=""),"",IF(AND(A116&gt;=Dashboard!$G$4,A116&lt;=Dashboard!$I$4),AA116+ROW()/10^9,""))</f>
        <v/>
      </c>
      <c r="AG116" s="51" t="str">
        <f aca="false">IF(A116="","",WEEKDAY(A116,2))</f>
        <v/>
      </c>
    </row>
    <row r="117" customFormat="false" ht="15" hidden="false" customHeight="false" outlineLevel="0" collapsed="false">
      <c r="A117" s="43"/>
      <c r="B117" s="11" t="str">
        <f aca="false">IF(A117="","",TEXT(A117,"ddd"))</f>
        <v/>
      </c>
      <c r="C117" s="44"/>
      <c r="D117" s="16"/>
      <c r="E117" s="16"/>
      <c r="F117" s="16"/>
      <c r="G117" s="16"/>
      <c r="H117" s="45"/>
      <c r="I117" s="45"/>
      <c r="J117" s="11" t="str">
        <f aca="false">IF(I117="","",LEN(I117))</f>
        <v/>
      </c>
      <c r="K117" s="16"/>
      <c r="L117" s="16"/>
      <c r="M117" s="11" t="str">
        <f aca="false">IF(L117="","",IFERROR(INDEX('Hashtag Bank'!$E$5:$E$104,MATCH(L117,'Hashtag Bank'!$B$5:$B$104,0)),""))</f>
        <v/>
      </c>
      <c r="N117" s="16"/>
      <c r="O117" s="16"/>
      <c r="P117" s="16"/>
      <c r="Q117" s="46" t="str">
        <f aca="true">IF(A117&amp;H117="","",TRIM(IF(AND(A117&lt;&gt;"",A117&lt;TODAY(),O117&lt;&gt;"Published",O117&lt;&gt;"Repurpose"),"⚠ Overdue ","")&amp;IF(AND(J117&lt;&gt;"",D117&lt;&gt;"",IFERROR(J117&gt;INDEX(Setup!$E$9:$E$18,MATCH(D117,Setup!$B$9:$B$18,0)),FALSE())),"✂ Caption too long ","")&amp;IF(AND(M117&lt;&gt;"",D117&lt;&gt;"",IFERROR(M117&gt;INDEX(Setup!$F$9:$F$18,MATCH(D117,Setup!$B$9:$B$18,0)),FALSE())),"# Too many tags","")))</f>
        <v/>
      </c>
      <c r="R117" s="16"/>
      <c r="S117" s="19"/>
      <c r="T117" s="19"/>
      <c r="U117" s="19"/>
      <c r="V117" s="19"/>
      <c r="W117" s="19"/>
      <c r="X117" s="19"/>
      <c r="Y117" s="19"/>
      <c r="Z117" s="47" t="str">
        <f aca="false">IF(COUNT(U117:X117)=0,"",SUM(U117:X117))</f>
        <v/>
      </c>
      <c r="AA117" s="48" t="str">
        <f aca="false">IF(OR(Z117="",N(T117)=0),"",Z117/T117)</f>
        <v/>
      </c>
      <c r="AB117" s="45"/>
      <c r="AC117" s="51" t="str">
        <f aca="false">IF(A117="","",A117+N(C117)+ROW()/10^7)</f>
        <v/>
      </c>
      <c r="AD117" s="51" t="str">
        <f aca="false">IF(A117="","",TEXT(A117,"0")&amp;"|"&amp;COUNTIFS('Content Log'!$A$5:$A$504,A117,'Content Log'!$AC$5:$AC$504,"&lt;="&amp;AC117))</f>
        <v/>
      </c>
      <c r="AE117" s="51" t="str">
        <f aca="false">IF(A117="","",IFERROR(INDEX(Setup!$N$9:$N$14,MATCH(O117,Setup!$M$9:$M$14,0))&amp;" ","")&amp;IF(C117="","",TEXT(C117,"h:mm AM/PM")&amp;" ")&amp;D117&amp;IF(H117="",""," · "&amp;H117))</f>
        <v/>
      </c>
      <c r="AF117" s="51" t="str">
        <f aca="false">IF(OR(A117="",AA117=""),"",IF(AND(A117&gt;=Dashboard!$G$4,A117&lt;=Dashboard!$I$4),AA117+ROW()/10^9,""))</f>
        <v/>
      </c>
      <c r="AG117" s="51" t="str">
        <f aca="false">IF(A117="","",WEEKDAY(A117,2))</f>
        <v/>
      </c>
    </row>
    <row r="118" customFormat="false" ht="15" hidden="false" customHeight="false" outlineLevel="0" collapsed="false">
      <c r="A118" s="43"/>
      <c r="B118" s="11" t="str">
        <f aca="false">IF(A118="","",TEXT(A118,"ddd"))</f>
        <v/>
      </c>
      <c r="C118" s="44"/>
      <c r="D118" s="16"/>
      <c r="E118" s="16"/>
      <c r="F118" s="16"/>
      <c r="G118" s="16"/>
      <c r="H118" s="45"/>
      <c r="I118" s="45"/>
      <c r="J118" s="11" t="str">
        <f aca="false">IF(I118="","",LEN(I118))</f>
        <v/>
      </c>
      <c r="K118" s="16"/>
      <c r="L118" s="16"/>
      <c r="M118" s="11" t="str">
        <f aca="false">IF(L118="","",IFERROR(INDEX('Hashtag Bank'!$E$5:$E$104,MATCH(L118,'Hashtag Bank'!$B$5:$B$104,0)),""))</f>
        <v/>
      </c>
      <c r="N118" s="16"/>
      <c r="O118" s="16"/>
      <c r="P118" s="16"/>
      <c r="Q118" s="46" t="str">
        <f aca="true">IF(A118&amp;H118="","",TRIM(IF(AND(A118&lt;&gt;"",A118&lt;TODAY(),O118&lt;&gt;"Published",O118&lt;&gt;"Repurpose"),"⚠ Overdue ","")&amp;IF(AND(J118&lt;&gt;"",D118&lt;&gt;"",IFERROR(J118&gt;INDEX(Setup!$E$9:$E$18,MATCH(D118,Setup!$B$9:$B$18,0)),FALSE())),"✂ Caption too long ","")&amp;IF(AND(M118&lt;&gt;"",D118&lt;&gt;"",IFERROR(M118&gt;INDEX(Setup!$F$9:$F$18,MATCH(D118,Setup!$B$9:$B$18,0)),FALSE())),"# Too many tags","")))</f>
        <v/>
      </c>
      <c r="R118" s="16"/>
      <c r="S118" s="19"/>
      <c r="T118" s="19"/>
      <c r="U118" s="19"/>
      <c r="V118" s="19"/>
      <c r="W118" s="19"/>
      <c r="X118" s="19"/>
      <c r="Y118" s="19"/>
      <c r="Z118" s="47" t="str">
        <f aca="false">IF(COUNT(U118:X118)=0,"",SUM(U118:X118))</f>
        <v/>
      </c>
      <c r="AA118" s="48" t="str">
        <f aca="false">IF(OR(Z118="",N(T118)=0),"",Z118/T118)</f>
        <v/>
      </c>
      <c r="AB118" s="45"/>
      <c r="AC118" s="51" t="str">
        <f aca="false">IF(A118="","",A118+N(C118)+ROW()/10^7)</f>
        <v/>
      </c>
      <c r="AD118" s="51" t="str">
        <f aca="false">IF(A118="","",TEXT(A118,"0")&amp;"|"&amp;COUNTIFS('Content Log'!$A$5:$A$504,A118,'Content Log'!$AC$5:$AC$504,"&lt;="&amp;AC118))</f>
        <v/>
      </c>
      <c r="AE118" s="51" t="str">
        <f aca="false">IF(A118="","",IFERROR(INDEX(Setup!$N$9:$N$14,MATCH(O118,Setup!$M$9:$M$14,0))&amp;" ","")&amp;IF(C118="","",TEXT(C118,"h:mm AM/PM")&amp;" ")&amp;D118&amp;IF(H118="",""," · "&amp;H118))</f>
        <v/>
      </c>
      <c r="AF118" s="51" t="str">
        <f aca="false">IF(OR(A118="",AA118=""),"",IF(AND(A118&gt;=Dashboard!$G$4,A118&lt;=Dashboard!$I$4),AA118+ROW()/10^9,""))</f>
        <v/>
      </c>
      <c r="AG118" s="51" t="str">
        <f aca="false">IF(A118="","",WEEKDAY(A118,2))</f>
        <v/>
      </c>
    </row>
    <row r="119" customFormat="false" ht="15" hidden="false" customHeight="false" outlineLevel="0" collapsed="false">
      <c r="A119" s="43"/>
      <c r="B119" s="11" t="str">
        <f aca="false">IF(A119="","",TEXT(A119,"ddd"))</f>
        <v/>
      </c>
      <c r="C119" s="44"/>
      <c r="D119" s="16"/>
      <c r="E119" s="16"/>
      <c r="F119" s="16"/>
      <c r="G119" s="16"/>
      <c r="H119" s="45"/>
      <c r="I119" s="45"/>
      <c r="J119" s="11" t="str">
        <f aca="false">IF(I119="","",LEN(I119))</f>
        <v/>
      </c>
      <c r="K119" s="16"/>
      <c r="L119" s="16"/>
      <c r="M119" s="11" t="str">
        <f aca="false">IF(L119="","",IFERROR(INDEX('Hashtag Bank'!$E$5:$E$104,MATCH(L119,'Hashtag Bank'!$B$5:$B$104,0)),""))</f>
        <v/>
      </c>
      <c r="N119" s="16"/>
      <c r="O119" s="16"/>
      <c r="P119" s="16"/>
      <c r="Q119" s="46" t="str">
        <f aca="true">IF(A119&amp;H119="","",TRIM(IF(AND(A119&lt;&gt;"",A119&lt;TODAY(),O119&lt;&gt;"Published",O119&lt;&gt;"Repurpose"),"⚠ Overdue ","")&amp;IF(AND(J119&lt;&gt;"",D119&lt;&gt;"",IFERROR(J119&gt;INDEX(Setup!$E$9:$E$18,MATCH(D119,Setup!$B$9:$B$18,0)),FALSE())),"✂ Caption too long ","")&amp;IF(AND(M119&lt;&gt;"",D119&lt;&gt;"",IFERROR(M119&gt;INDEX(Setup!$F$9:$F$18,MATCH(D119,Setup!$B$9:$B$18,0)),FALSE())),"# Too many tags","")))</f>
        <v/>
      </c>
      <c r="R119" s="16"/>
      <c r="S119" s="19"/>
      <c r="T119" s="19"/>
      <c r="U119" s="19"/>
      <c r="V119" s="19"/>
      <c r="W119" s="19"/>
      <c r="X119" s="19"/>
      <c r="Y119" s="19"/>
      <c r="Z119" s="47" t="str">
        <f aca="false">IF(COUNT(U119:X119)=0,"",SUM(U119:X119))</f>
        <v/>
      </c>
      <c r="AA119" s="48" t="str">
        <f aca="false">IF(OR(Z119="",N(T119)=0),"",Z119/T119)</f>
        <v/>
      </c>
      <c r="AB119" s="45"/>
      <c r="AC119" s="51" t="str">
        <f aca="false">IF(A119="","",A119+N(C119)+ROW()/10^7)</f>
        <v/>
      </c>
      <c r="AD119" s="51" t="str">
        <f aca="false">IF(A119="","",TEXT(A119,"0")&amp;"|"&amp;COUNTIFS('Content Log'!$A$5:$A$504,A119,'Content Log'!$AC$5:$AC$504,"&lt;="&amp;AC119))</f>
        <v/>
      </c>
      <c r="AE119" s="51" t="str">
        <f aca="false">IF(A119="","",IFERROR(INDEX(Setup!$N$9:$N$14,MATCH(O119,Setup!$M$9:$M$14,0))&amp;" ","")&amp;IF(C119="","",TEXT(C119,"h:mm AM/PM")&amp;" ")&amp;D119&amp;IF(H119="",""," · "&amp;H119))</f>
        <v/>
      </c>
      <c r="AF119" s="51" t="str">
        <f aca="false">IF(OR(A119="",AA119=""),"",IF(AND(A119&gt;=Dashboard!$G$4,A119&lt;=Dashboard!$I$4),AA119+ROW()/10^9,""))</f>
        <v/>
      </c>
      <c r="AG119" s="51" t="str">
        <f aca="false">IF(A119="","",WEEKDAY(A119,2))</f>
        <v/>
      </c>
    </row>
    <row r="120" customFormat="false" ht="15" hidden="false" customHeight="false" outlineLevel="0" collapsed="false">
      <c r="A120" s="43"/>
      <c r="B120" s="11" t="str">
        <f aca="false">IF(A120="","",TEXT(A120,"ddd"))</f>
        <v/>
      </c>
      <c r="C120" s="44"/>
      <c r="D120" s="16"/>
      <c r="E120" s="16"/>
      <c r="F120" s="16"/>
      <c r="G120" s="16"/>
      <c r="H120" s="45"/>
      <c r="I120" s="45"/>
      <c r="J120" s="11" t="str">
        <f aca="false">IF(I120="","",LEN(I120))</f>
        <v/>
      </c>
      <c r="K120" s="16"/>
      <c r="L120" s="16"/>
      <c r="M120" s="11" t="str">
        <f aca="false">IF(L120="","",IFERROR(INDEX('Hashtag Bank'!$E$5:$E$104,MATCH(L120,'Hashtag Bank'!$B$5:$B$104,0)),""))</f>
        <v/>
      </c>
      <c r="N120" s="16"/>
      <c r="O120" s="16"/>
      <c r="P120" s="16"/>
      <c r="Q120" s="46" t="str">
        <f aca="true">IF(A120&amp;H120="","",TRIM(IF(AND(A120&lt;&gt;"",A120&lt;TODAY(),O120&lt;&gt;"Published",O120&lt;&gt;"Repurpose"),"⚠ Overdue ","")&amp;IF(AND(J120&lt;&gt;"",D120&lt;&gt;"",IFERROR(J120&gt;INDEX(Setup!$E$9:$E$18,MATCH(D120,Setup!$B$9:$B$18,0)),FALSE())),"✂ Caption too long ","")&amp;IF(AND(M120&lt;&gt;"",D120&lt;&gt;"",IFERROR(M120&gt;INDEX(Setup!$F$9:$F$18,MATCH(D120,Setup!$B$9:$B$18,0)),FALSE())),"# Too many tags","")))</f>
        <v/>
      </c>
      <c r="R120" s="16"/>
      <c r="S120" s="19"/>
      <c r="T120" s="19"/>
      <c r="U120" s="19"/>
      <c r="V120" s="19"/>
      <c r="W120" s="19"/>
      <c r="X120" s="19"/>
      <c r="Y120" s="19"/>
      <c r="Z120" s="47" t="str">
        <f aca="false">IF(COUNT(U120:X120)=0,"",SUM(U120:X120))</f>
        <v/>
      </c>
      <c r="AA120" s="48" t="str">
        <f aca="false">IF(OR(Z120="",N(T120)=0),"",Z120/T120)</f>
        <v/>
      </c>
      <c r="AB120" s="45"/>
      <c r="AC120" s="51" t="str">
        <f aca="false">IF(A120="","",A120+N(C120)+ROW()/10^7)</f>
        <v/>
      </c>
      <c r="AD120" s="51" t="str">
        <f aca="false">IF(A120="","",TEXT(A120,"0")&amp;"|"&amp;COUNTIFS('Content Log'!$A$5:$A$504,A120,'Content Log'!$AC$5:$AC$504,"&lt;="&amp;AC120))</f>
        <v/>
      </c>
      <c r="AE120" s="51" t="str">
        <f aca="false">IF(A120="","",IFERROR(INDEX(Setup!$N$9:$N$14,MATCH(O120,Setup!$M$9:$M$14,0))&amp;" ","")&amp;IF(C120="","",TEXT(C120,"h:mm AM/PM")&amp;" ")&amp;D120&amp;IF(H120="",""," · "&amp;H120))</f>
        <v/>
      </c>
      <c r="AF120" s="51" t="str">
        <f aca="false">IF(OR(A120="",AA120=""),"",IF(AND(A120&gt;=Dashboard!$G$4,A120&lt;=Dashboard!$I$4),AA120+ROW()/10^9,""))</f>
        <v/>
      </c>
      <c r="AG120" s="51" t="str">
        <f aca="false">IF(A120="","",WEEKDAY(A120,2))</f>
        <v/>
      </c>
    </row>
    <row r="121" customFormat="false" ht="15" hidden="false" customHeight="false" outlineLevel="0" collapsed="false">
      <c r="A121" s="43"/>
      <c r="B121" s="11" t="str">
        <f aca="false">IF(A121="","",TEXT(A121,"ddd"))</f>
        <v/>
      </c>
      <c r="C121" s="44"/>
      <c r="D121" s="16"/>
      <c r="E121" s="16"/>
      <c r="F121" s="16"/>
      <c r="G121" s="16"/>
      <c r="H121" s="45"/>
      <c r="I121" s="45"/>
      <c r="J121" s="11" t="str">
        <f aca="false">IF(I121="","",LEN(I121))</f>
        <v/>
      </c>
      <c r="K121" s="16"/>
      <c r="L121" s="16"/>
      <c r="M121" s="11" t="str">
        <f aca="false">IF(L121="","",IFERROR(INDEX('Hashtag Bank'!$E$5:$E$104,MATCH(L121,'Hashtag Bank'!$B$5:$B$104,0)),""))</f>
        <v/>
      </c>
      <c r="N121" s="16"/>
      <c r="O121" s="16"/>
      <c r="P121" s="16"/>
      <c r="Q121" s="46" t="str">
        <f aca="true">IF(A121&amp;H121="","",TRIM(IF(AND(A121&lt;&gt;"",A121&lt;TODAY(),O121&lt;&gt;"Published",O121&lt;&gt;"Repurpose"),"⚠ Overdue ","")&amp;IF(AND(J121&lt;&gt;"",D121&lt;&gt;"",IFERROR(J121&gt;INDEX(Setup!$E$9:$E$18,MATCH(D121,Setup!$B$9:$B$18,0)),FALSE())),"✂ Caption too long ","")&amp;IF(AND(M121&lt;&gt;"",D121&lt;&gt;"",IFERROR(M121&gt;INDEX(Setup!$F$9:$F$18,MATCH(D121,Setup!$B$9:$B$18,0)),FALSE())),"# Too many tags","")))</f>
        <v/>
      </c>
      <c r="R121" s="16"/>
      <c r="S121" s="19"/>
      <c r="T121" s="19"/>
      <c r="U121" s="19"/>
      <c r="V121" s="19"/>
      <c r="W121" s="19"/>
      <c r="X121" s="19"/>
      <c r="Y121" s="19"/>
      <c r="Z121" s="47" t="str">
        <f aca="false">IF(COUNT(U121:X121)=0,"",SUM(U121:X121))</f>
        <v/>
      </c>
      <c r="AA121" s="48" t="str">
        <f aca="false">IF(OR(Z121="",N(T121)=0),"",Z121/T121)</f>
        <v/>
      </c>
      <c r="AB121" s="45"/>
      <c r="AC121" s="51" t="str">
        <f aca="false">IF(A121="","",A121+N(C121)+ROW()/10^7)</f>
        <v/>
      </c>
      <c r="AD121" s="51" t="str">
        <f aca="false">IF(A121="","",TEXT(A121,"0")&amp;"|"&amp;COUNTIFS('Content Log'!$A$5:$A$504,A121,'Content Log'!$AC$5:$AC$504,"&lt;="&amp;AC121))</f>
        <v/>
      </c>
      <c r="AE121" s="51" t="str">
        <f aca="false">IF(A121="","",IFERROR(INDEX(Setup!$N$9:$N$14,MATCH(O121,Setup!$M$9:$M$14,0))&amp;" ","")&amp;IF(C121="","",TEXT(C121,"h:mm AM/PM")&amp;" ")&amp;D121&amp;IF(H121="",""," · "&amp;H121))</f>
        <v/>
      </c>
      <c r="AF121" s="51" t="str">
        <f aca="false">IF(OR(A121="",AA121=""),"",IF(AND(A121&gt;=Dashboard!$G$4,A121&lt;=Dashboard!$I$4),AA121+ROW()/10^9,""))</f>
        <v/>
      </c>
      <c r="AG121" s="51" t="str">
        <f aca="false">IF(A121="","",WEEKDAY(A121,2))</f>
        <v/>
      </c>
    </row>
    <row r="122" customFormat="false" ht="15" hidden="false" customHeight="false" outlineLevel="0" collapsed="false">
      <c r="A122" s="43"/>
      <c r="B122" s="11" t="str">
        <f aca="false">IF(A122="","",TEXT(A122,"ddd"))</f>
        <v/>
      </c>
      <c r="C122" s="44"/>
      <c r="D122" s="16"/>
      <c r="E122" s="16"/>
      <c r="F122" s="16"/>
      <c r="G122" s="16"/>
      <c r="H122" s="45"/>
      <c r="I122" s="45"/>
      <c r="J122" s="11" t="str">
        <f aca="false">IF(I122="","",LEN(I122))</f>
        <v/>
      </c>
      <c r="K122" s="16"/>
      <c r="L122" s="16"/>
      <c r="M122" s="11" t="str">
        <f aca="false">IF(L122="","",IFERROR(INDEX('Hashtag Bank'!$E$5:$E$104,MATCH(L122,'Hashtag Bank'!$B$5:$B$104,0)),""))</f>
        <v/>
      </c>
      <c r="N122" s="16"/>
      <c r="O122" s="16"/>
      <c r="P122" s="16"/>
      <c r="Q122" s="46" t="str">
        <f aca="true">IF(A122&amp;H122="","",TRIM(IF(AND(A122&lt;&gt;"",A122&lt;TODAY(),O122&lt;&gt;"Published",O122&lt;&gt;"Repurpose"),"⚠ Overdue ","")&amp;IF(AND(J122&lt;&gt;"",D122&lt;&gt;"",IFERROR(J122&gt;INDEX(Setup!$E$9:$E$18,MATCH(D122,Setup!$B$9:$B$18,0)),FALSE())),"✂ Caption too long ","")&amp;IF(AND(M122&lt;&gt;"",D122&lt;&gt;"",IFERROR(M122&gt;INDEX(Setup!$F$9:$F$18,MATCH(D122,Setup!$B$9:$B$18,0)),FALSE())),"# Too many tags","")))</f>
        <v/>
      </c>
      <c r="R122" s="16"/>
      <c r="S122" s="19"/>
      <c r="T122" s="19"/>
      <c r="U122" s="19"/>
      <c r="V122" s="19"/>
      <c r="W122" s="19"/>
      <c r="X122" s="19"/>
      <c r="Y122" s="19"/>
      <c r="Z122" s="47" t="str">
        <f aca="false">IF(COUNT(U122:X122)=0,"",SUM(U122:X122))</f>
        <v/>
      </c>
      <c r="AA122" s="48" t="str">
        <f aca="false">IF(OR(Z122="",N(T122)=0),"",Z122/T122)</f>
        <v/>
      </c>
      <c r="AB122" s="45"/>
      <c r="AC122" s="51" t="str">
        <f aca="false">IF(A122="","",A122+N(C122)+ROW()/10^7)</f>
        <v/>
      </c>
      <c r="AD122" s="51" t="str">
        <f aca="false">IF(A122="","",TEXT(A122,"0")&amp;"|"&amp;COUNTIFS('Content Log'!$A$5:$A$504,A122,'Content Log'!$AC$5:$AC$504,"&lt;="&amp;AC122))</f>
        <v/>
      </c>
      <c r="AE122" s="51" t="str">
        <f aca="false">IF(A122="","",IFERROR(INDEX(Setup!$N$9:$N$14,MATCH(O122,Setup!$M$9:$M$14,0))&amp;" ","")&amp;IF(C122="","",TEXT(C122,"h:mm AM/PM")&amp;" ")&amp;D122&amp;IF(H122="",""," · "&amp;H122))</f>
        <v/>
      </c>
      <c r="AF122" s="51" t="str">
        <f aca="false">IF(OR(A122="",AA122=""),"",IF(AND(A122&gt;=Dashboard!$G$4,A122&lt;=Dashboard!$I$4),AA122+ROW()/10^9,""))</f>
        <v/>
      </c>
      <c r="AG122" s="51" t="str">
        <f aca="false">IF(A122="","",WEEKDAY(A122,2))</f>
        <v/>
      </c>
    </row>
    <row r="123" customFormat="false" ht="15" hidden="false" customHeight="false" outlineLevel="0" collapsed="false">
      <c r="A123" s="43"/>
      <c r="B123" s="11" t="str">
        <f aca="false">IF(A123="","",TEXT(A123,"ddd"))</f>
        <v/>
      </c>
      <c r="C123" s="44"/>
      <c r="D123" s="16"/>
      <c r="E123" s="16"/>
      <c r="F123" s="16"/>
      <c r="G123" s="16"/>
      <c r="H123" s="45"/>
      <c r="I123" s="45"/>
      <c r="J123" s="11" t="str">
        <f aca="false">IF(I123="","",LEN(I123))</f>
        <v/>
      </c>
      <c r="K123" s="16"/>
      <c r="L123" s="16"/>
      <c r="M123" s="11" t="str">
        <f aca="false">IF(L123="","",IFERROR(INDEX('Hashtag Bank'!$E$5:$E$104,MATCH(L123,'Hashtag Bank'!$B$5:$B$104,0)),""))</f>
        <v/>
      </c>
      <c r="N123" s="16"/>
      <c r="O123" s="16"/>
      <c r="P123" s="16"/>
      <c r="Q123" s="46" t="str">
        <f aca="true">IF(A123&amp;H123="","",TRIM(IF(AND(A123&lt;&gt;"",A123&lt;TODAY(),O123&lt;&gt;"Published",O123&lt;&gt;"Repurpose"),"⚠ Overdue ","")&amp;IF(AND(J123&lt;&gt;"",D123&lt;&gt;"",IFERROR(J123&gt;INDEX(Setup!$E$9:$E$18,MATCH(D123,Setup!$B$9:$B$18,0)),FALSE())),"✂ Caption too long ","")&amp;IF(AND(M123&lt;&gt;"",D123&lt;&gt;"",IFERROR(M123&gt;INDEX(Setup!$F$9:$F$18,MATCH(D123,Setup!$B$9:$B$18,0)),FALSE())),"# Too many tags","")))</f>
        <v/>
      </c>
      <c r="R123" s="16"/>
      <c r="S123" s="19"/>
      <c r="T123" s="19"/>
      <c r="U123" s="19"/>
      <c r="V123" s="19"/>
      <c r="W123" s="19"/>
      <c r="X123" s="19"/>
      <c r="Y123" s="19"/>
      <c r="Z123" s="47" t="str">
        <f aca="false">IF(COUNT(U123:X123)=0,"",SUM(U123:X123))</f>
        <v/>
      </c>
      <c r="AA123" s="48" t="str">
        <f aca="false">IF(OR(Z123="",N(T123)=0),"",Z123/T123)</f>
        <v/>
      </c>
      <c r="AB123" s="45"/>
      <c r="AC123" s="51" t="str">
        <f aca="false">IF(A123="","",A123+N(C123)+ROW()/10^7)</f>
        <v/>
      </c>
      <c r="AD123" s="51" t="str">
        <f aca="false">IF(A123="","",TEXT(A123,"0")&amp;"|"&amp;COUNTIFS('Content Log'!$A$5:$A$504,A123,'Content Log'!$AC$5:$AC$504,"&lt;="&amp;AC123))</f>
        <v/>
      </c>
      <c r="AE123" s="51" t="str">
        <f aca="false">IF(A123="","",IFERROR(INDEX(Setup!$N$9:$N$14,MATCH(O123,Setup!$M$9:$M$14,0))&amp;" ","")&amp;IF(C123="","",TEXT(C123,"h:mm AM/PM")&amp;" ")&amp;D123&amp;IF(H123="",""," · "&amp;H123))</f>
        <v/>
      </c>
      <c r="AF123" s="51" t="str">
        <f aca="false">IF(OR(A123="",AA123=""),"",IF(AND(A123&gt;=Dashboard!$G$4,A123&lt;=Dashboard!$I$4),AA123+ROW()/10^9,""))</f>
        <v/>
      </c>
      <c r="AG123" s="51" t="str">
        <f aca="false">IF(A123="","",WEEKDAY(A123,2))</f>
        <v/>
      </c>
    </row>
    <row r="124" customFormat="false" ht="15" hidden="false" customHeight="false" outlineLevel="0" collapsed="false">
      <c r="A124" s="43"/>
      <c r="B124" s="11" t="str">
        <f aca="false">IF(A124="","",TEXT(A124,"ddd"))</f>
        <v/>
      </c>
      <c r="C124" s="44"/>
      <c r="D124" s="16"/>
      <c r="E124" s="16"/>
      <c r="F124" s="16"/>
      <c r="G124" s="16"/>
      <c r="H124" s="45"/>
      <c r="I124" s="45"/>
      <c r="J124" s="11" t="str">
        <f aca="false">IF(I124="","",LEN(I124))</f>
        <v/>
      </c>
      <c r="K124" s="16"/>
      <c r="L124" s="16"/>
      <c r="M124" s="11" t="str">
        <f aca="false">IF(L124="","",IFERROR(INDEX('Hashtag Bank'!$E$5:$E$104,MATCH(L124,'Hashtag Bank'!$B$5:$B$104,0)),""))</f>
        <v/>
      </c>
      <c r="N124" s="16"/>
      <c r="O124" s="16"/>
      <c r="P124" s="16"/>
      <c r="Q124" s="46" t="str">
        <f aca="true">IF(A124&amp;H124="","",TRIM(IF(AND(A124&lt;&gt;"",A124&lt;TODAY(),O124&lt;&gt;"Published",O124&lt;&gt;"Repurpose"),"⚠ Overdue ","")&amp;IF(AND(J124&lt;&gt;"",D124&lt;&gt;"",IFERROR(J124&gt;INDEX(Setup!$E$9:$E$18,MATCH(D124,Setup!$B$9:$B$18,0)),FALSE())),"✂ Caption too long ","")&amp;IF(AND(M124&lt;&gt;"",D124&lt;&gt;"",IFERROR(M124&gt;INDEX(Setup!$F$9:$F$18,MATCH(D124,Setup!$B$9:$B$18,0)),FALSE())),"# Too many tags","")))</f>
        <v/>
      </c>
      <c r="R124" s="16"/>
      <c r="S124" s="19"/>
      <c r="T124" s="19"/>
      <c r="U124" s="19"/>
      <c r="V124" s="19"/>
      <c r="W124" s="19"/>
      <c r="X124" s="19"/>
      <c r="Y124" s="19"/>
      <c r="Z124" s="47" t="str">
        <f aca="false">IF(COUNT(U124:X124)=0,"",SUM(U124:X124))</f>
        <v/>
      </c>
      <c r="AA124" s="48" t="str">
        <f aca="false">IF(OR(Z124="",N(T124)=0),"",Z124/T124)</f>
        <v/>
      </c>
      <c r="AB124" s="45"/>
      <c r="AC124" s="51" t="str">
        <f aca="false">IF(A124="","",A124+N(C124)+ROW()/10^7)</f>
        <v/>
      </c>
      <c r="AD124" s="51" t="str">
        <f aca="false">IF(A124="","",TEXT(A124,"0")&amp;"|"&amp;COUNTIFS('Content Log'!$A$5:$A$504,A124,'Content Log'!$AC$5:$AC$504,"&lt;="&amp;AC124))</f>
        <v/>
      </c>
      <c r="AE124" s="51" t="str">
        <f aca="false">IF(A124="","",IFERROR(INDEX(Setup!$N$9:$N$14,MATCH(O124,Setup!$M$9:$M$14,0))&amp;" ","")&amp;IF(C124="","",TEXT(C124,"h:mm AM/PM")&amp;" ")&amp;D124&amp;IF(H124="",""," · "&amp;H124))</f>
        <v/>
      </c>
      <c r="AF124" s="51" t="str">
        <f aca="false">IF(OR(A124="",AA124=""),"",IF(AND(A124&gt;=Dashboard!$G$4,A124&lt;=Dashboard!$I$4),AA124+ROW()/10^9,""))</f>
        <v/>
      </c>
      <c r="AG124" s="51" t="str">
        <f aca="false">IF(A124="","",WEEKDAY(A124,2))</f>
        <v/>
      </c>
    </row>
    <row r="125" customFormat="false" ht="15" hidden="false" customHeight="false" outlineLevel="0" collapsed="false">
      <c r="A125" s="43"/>
      <c r="B125" s="11" t="str">
        <f aca="false">IF(A125="","",TEXT(A125,"ddd"))</f>
        <v/>
      </c>
      <c r="C125" s="44"/>
      <c r="D125" s="16"/>
      <c r="E125" s="16"/>
      <c r="F125" s="16"/>
      <c r="G125" s="16"/>
      <c r="H125" s="45"/>
      <c r="I125" s="45"/>
      <c r="J125" s="11" t="str">
        <f aca="false">IF(I125="","",LEN(I125))</f>
        <v/>
      </c>
      <c r="K125" s="16"/>
      <c r="L125" s="16"/>
      <c r="M125" s="11" t="str">
        <f aca="false">IF(L125="","",IFERROR(INDEX('Hashtag Bank'!$E$5:$E$104,MATCH(L125,'Hashtag Bank'!$B$5:$B$104,0)),""))</f>
        <v/>
      </c>
      <c r="N125" s="16"/>
      <c r="O125" s="16"/>
      <c r="P125" s="16"/>
      <c r="Q125" s="46" t="str">
        <f aca="true">IF(A125&amp;H125="","",TRIM(IF(AND(A125&lt;&gt;"",A125&lt;TODAY(),O125&lt;&gt;"Published",O125&lt;&gt;"Repurpose"),"⚠ Overdue ","")&amp;IF(AND(J125&lt;&gt;"",D125&lt;&gt;"",IFERROR(J125&gt;INDEX(Setup!$E$9:$E$18,MATCH(D125,Setup!$B$9:$B$18,0)),FALSE())),"✂ Caption too long ","")&amp;IF(AND(M125&lt;&gt;"",D125&lt;&gt;"",IFERROR(M125&gt;INDEX(Setup!$F$9:$F$18,MATCH(D125,Setup!$B$9:$B$18,0)),FALSE())),"# Too many tags","")))</f>
        <v/>
      </c>
      <c r="R125" s="16"/>
      <c r="S125" s="19"/>
      <c r="T125" s="19"/>
      <c r="U125" s="19"/>
      <c r="V125" s="19"/>
      <c r="W125" s="19"/>
      <c r="X125" s="19"/>
      <c r="Y125" s="19"/>
      <c r="Z125" s="47" t="str">
        <f aca="false">IF(COUNT(U125:X125)=0,"",SUM(U125:X125))</f>
        <v/>
      </c>
      <c r="AA125" s="48" t="str">
        <f aca="false">IF(OR(Z125="",N(T125)=0),"",Z125/T125)</f>
        <v/>
      </c>
      <c r="AB125" s="45"/>
      <c r="AC125" s="51" t="str">
        <f aca="false">IF(A125="","",A125+N(C125)+ROW()/10^7)</f>
        <v/>
      </c>
      <c r="AD125" s="51" t="str">
        <f aca="false">IF(A125="","",TEXT(A125,"0")&amp;"|"&amp;COUNTIFS('Content Log'!$A$5:$A$504,A125,'Content Log'!$AC$5:$AC$504,"&lt;="&amp;AC125))</f>
        <v/>
      </c>
      <c r="AE125" s="51" t="str">
        <f aca="false">IF(A125="","",IFERROR(INDEX(Setup!$N$9:$N$14,MATCH(O125,Setup!$M$9:$M$14,0))&amp;" ","")&amp;IF(C125="","",TEXT(C125,"h:mm AM/PM")&amp;" ")&amp;D125&amp;IF(H125="",""," · "&amp;H125))</f>
        <v/>
      </c>
      <c r="AF125" s="51" t="str">
        <f aca="false">IF(OR(A125="",AA125=""),"",IF(AND(A125&gt;=Dashboard!$G$4,A125&lt;=Dashboard!$I$4),AA125+ROW()/10^9,""))</f>
        <v/>
      </c>
      <c r="AG125" s="51" t="str">
        <f aca="false">IF(A125="","",WEEKDAY(A125,2))</f>
        <v/>
      </c>
    </row>
    <row r="126" customFormat="false" ht="15" hidden="false" customHeight="false" outlineLevel="0" collapsed="false">
      <c r="A126" s="43"/>
      <c r="B126" s="11" t="str">
        <f aca="false">IF(A126="","",TEXT(A126,"ddd"))</f>
        <v/>
      </c>
      <c r="C126" s="44"/>
      <c r="D126" s="16"/>
      <c r="E126" s="16"/>
      <c r="F126" s="16"/>
      <c r="G126" s="16"/>
      <c r="H126" s="45"/>
      <c r="I126" s="45"/>
      <c r="J126" s="11" t="str">
        <f aca="false">IF(I126="","",LEN(I126))</f>
        <v/>
      </c>
      <c r="K126" s="16"/>
      <c r="L126" s="16"/>
      <c r="M126" s="11" t="str">
        <f aca="false">IF(L126="","",IFERROR(INDEX('Hashtag Bank'!$E$5:$E$104,MATCH(L126,'Hashtag Bank'!$B$5:$B$104,0)),""))</f>
        <v/>
      </c>
      <c r="N126" s="16"/>
      <c r="O126" s="16"/>
      <c r="P126" s="16"/>
      <c r="Q126" s="46" t="str">
        <f aca="true">IF(A126&amp;H126="","",TRIM(IF(AND(A126&lt;&gt;"",A126&lt;TODAY(),O126&lt;&gt;"Published",O126&lt;&gt;"Repurpose"),"⚠ Overdue ","")&amp;IF(AND(J126&lt;&gt;"",D126&lt;&gt;"",IFERROR(J126&gt;INDEX(Setup!$E$9:$E$18,MATCH(D126,Setup!$B$9:$B$18,0)),FALSE())),"✂ Caption too long ","")&amp;IF(AND(M126&lt;&gt;"",D126&lt;&gt;"",IFERROR(M126&gt;INDEX(Setup!$F$9:$F$18,MATCH(D126,Setup!$B$9:$B$18,0)),FALSE())),"# Too many tags","")))</f>
        <v/>
      </c>
      <c r="R126" s="16"/>
      <c r="S126" s="19"/>
      <c r="T126" s="19"/>
      <c r="U126" s="19"/>
      <c r="V126" s="19"/>
      <c r="W126" s="19"/>
      <c r="X126" s="19"/>
      <c r="Y126" s="19"/>
      <c r="Z126" s="47" t="str">
        <f aca="false">IF(COUNT(U126:X126)=0,"",SUM(U126:X126))</f>
        <v/>
      </c>
      <c r="AA126" s="48" t="str">
        <f aca="false">IF(OR(Z126="",N(T126)=0),"",Z126/T126)</f>
        <v/>
      </c>
      <c r="AB126" s="45"/>
      <c r="AC126" s="51" t="str">
        <f aca="false">IF(A126="","",A126+N(C126)+ROW()/10^7)</f>
        <v/>
      </c>
      <c r="AD126" s="51" t="str">
        <f aca="false">IF(A126="","",TEXT(A126,"0")&amp;"|"&amp;COUNTIFS('Content Log'!$A$5:$A$504,A126,'Content Log'!$AC$5:$AC$504,"&lt;="&amp;AC126))</f>
        <v/>
      </c>
      <c r="AE126" s="51" t="str">
        <f aca="false">IF(A126="","",IFERROR(INDEX(Setup!$N$9:$N$14,MATCH(O126,Setup!$M$9:$M$14,0))&amp;" ","")&amp;IF(C126="","",TEXT(C126,"h:mm AM/PM")&amp;" ")&amp;D126&amp;IF(H126="",""," · "&amp;H126))</f>
        <v/>
      </c>
      <c r="AF126" s="51" t="str">
        <f aca="false">IF(OR(A126="",AA126=""),"",IF(AND(A126&gt;=Dashboard!$G$4,A126&lt;=Dashboard!$I$4),AA126+ROW()/10^9,""))</f>
        <v/>
      </c>
      <c r="AG126" s="51" t="str">
        <f aca="false">IF(A126="","",WEEKDAY(A126,2))</f>
        <v/>
      </c>
    </row>
    <row r="127" customFormat="false" ht="15" hidden="false" customHeight="false" outlineLevel="0" collapsed="false">
      <c r="A127" s="43"/>
      <c r="B127" s="11" t="str">
        <f aca="false">IF(A127="","",TEXT(A127,"ddd"))</f>
        <v/>
      </c>
      <c r="C127" s="44"/>
      <c r="D127" s="16"/>
      <c r="E127" s="16"/>
      <c r="F127" s="16"/>
      <c r="G127" s="16"/>
      <c r="H127" s="45"/>
      <c r="I127" s="45"/>
      <c r="J127" s="11" t="str">
        <f aca="false">IF(I127="","",LEN(I127))</f>
        <v/>
      </c>
      <c r="K127" s="16"/>
      <c r="L127" s="16"/>
      <c r="M127" s="11" t="str">
        <f aca="false">IF(L127="","",IFERROR(INDEX('Hashtag Bank'!$E$5:$E$104,MATCH(L127,'Hashtag Bank'!$B$5:$B$104,0)),""))</f>
        <v/>
      </c>
      <c r="N127" s="16"/>
      <c r="O127" s="16"/>
      <c r="P127" s="16"/>
      <c r="Q127" s="46" t="str">
        <f aca="true">IF(A127&amp;H127="","",TRIM(IF(AND(A127&lt;&gt;"",A127&lt;TODAY(),O127&lt;&gt;"Published",O127&lt;&gt;"Repurpose"),"⚠ Overdue ","")&amp;IF(AND(J127&lt;&gt;"",D127&lt;&gt;"",IFERROR(J127&gt;INDEX(Setup!$E$9:$E$18,MATCH(D127,Setup!$B$9:$B$18,0)),FALSE())),"✂ Caption too long ","")&amp;IF(AND(M127&lt;&gt;"",D127&lt;&gt;"",IFERROR(M127&gt;INDEX(Setup!$F$9:$F$18,MATCH(D127,Setup!$B$9:$B$18,0)),FALSE())),"# Too many tags","")))</f>
        <v/>
      </c>
      <c r="R127" s="16"/>
      <c r="S127" s="19"/>
      <c r="T127" s="19"/>
      <c r="U127" s="19"/>
      <c r="V127" s="19"/>
      <c r="W127" s="19"/>
      <c r="X127" s="19"/>
      <c r="Y127" s="19"/>
      <c r="Z127" s="47" t="str">
        <f aca="false">IF(COUNT(U127:X127)=0,"",SUM(U127:X127))</f>
        <v/>
      </c>
      <c r="AA127" s="48" t="str">
        <f aca="false">IF(OR(Z127="",N(T127)=0),"",Z127/T127)</f>
        <v/>
      </c>
      <c r="AB127" s="45"/>
      <c r="AC127" s="51" t="str">
        <f aca="false">IF(A127="","",A127+N(C127)+ROW()/10^7)</f>
        <v/>
      </c>
      <c r="AD127" s="51" t="str">
        <f aca="false">IF(A127="","",TEXT(A127,"0")&amp;"|"&amp;COUNTIFS('Content Log'!$A$5:$A$504,A127,'Content Log'!$AC$5:$AC$504,"&lt;="&amp;AC127))</f>
        <v/>
      </c>
      <c r="AE127" s="51" t="str">
        <f aca="false">IF(A127="","",IFERROR(INDEX(Setup!$N$9:$N$14,MATCH(O127,Setup!$M$9:$M$14,0))&amp;" ","")&amp;IF(C127="","",TEXT(C127,"h:mm AM/PM")&amp;" ")&amp;D127&amp;IF(H127="",""," · "&amp;H127))</f>
        <v/>
      </c>
      <c r="AF127" s="51" t="str">
        <f aca="false">IF(OR(A127="",AA127=""),"",IF(AND(A127&gt;=Dashboard!$G$4,A127&lt;=Dashboard!$I$4),AA127+ROW()/10^9,""))</f>
        <v/>
      </c>
      <c r="AG127" s="51" t="str">
        <f aca="false">IF(A127="","",WEEKDAY(A127,2))</f>
        <v/>
      </c>
    </row>
    <row r="128" customFormat="false" ht="15" hidden="false" customHeight="false" outlineLevel="0" collapsed="false">
      <c r="A128" s="43"/>
      <c r="B128" s="11" t="str">
        <f aca="false">IF(A128="","",TEXT(A128,"ddd"))</f>
        <v/>
      </c>
      <c r="C128" s="44"/>
      <c r="D128" s="16"/>
      <c r="E128" s="16"/>
      <c r="F128" s="16"/>
      <c r="G128" s="16"/>
      <c r="H128" s="45"/>
      <c r="I128" s="45"/>
      <c r="J128" s="11" t="str">
        <f aca="false">IF(I128="","",LEN(I128))</f>
        <v/>
      </c>
      <c r="K128" s="16"/>
      <c r="L128" s="16"/>
      <c r="M128" s="11" t="str">
        <f aca="false">IF(L128="","",IFERROR(INDEX('Hashtag Bank'!$E$5:$E$104,MATCH(L128,'Hashtag Bank'!$B$5:$B$104,0)),""))</f>
        <v/>
      </c>
      <c r="N128" s="16"/>
      <c r="O128" s="16"/>
      <c r="P128" s="16"/>
      <c r="Q128" s="46" t="str">
        <f aca="true">IF(A128&amp;H128="","",TRIM(IF(AND(A128&lt;&gt;"",A128&lt;TODAY(),O128&lt;&gt;"Published",O128&lt;&gt;"Repurpose"),"⚠ Overdue ","")&amp;IF(AND(J128&lt;&gt;"",D128&lt;&gt;"",IFERROR(J128&gt;INDEX(Setup!$E$9:$E$18,MATCH(D128,Setup!$B$9:$B$18,0)),FALSE())),"✂ Caption too long ","")&amp;IF(AND(M128&lt;&gt;"",D128&lt;&gt;"",IFERROR(M128&gt;INDEX(Setup!$F$9:$F$18,MATCH(D128,Setup!$B$9:$B$18,0)),FALSE())),"# Too many tags","")))</f>
        <v/>
      </c>
      <c r="R128" s="16"/>
      <c r="S128" s="19"/>
      <c r="T128" s="19"/>
      <c r="U128" s="19"/>
      <c r="V128" s="19"/>
      <c r="W128" s="19"/>
      <c r="X128" s="19"/>
      <c r="Y128" s="19"/>
      <c r="Z128" s="47" t="str">
        <f aca="false">IF(COUNT(U128:X128)=0,"",SUM(U128:X128))</f>
        <v/>
      </c>
      <c r="AA128" s="48" t="str">
        <f aca="false">IF(OR(Z128="",N(T128)=0),"",Z128/T128)</f>
        <v/>
      </c>
      <c r="AB128" s="45"/>
      <c r="AC128" s="51" t="str">
        <f aca="false">IF(A128="","",A128+N(C128)+ROW()/10^7)</f>
        <v/>
      </c>
      <c r="AD128" s="51" t="str">
        <f aca="false">IF(A128="","",TEXT(A128,"0")&amp;"|"&amp;COUNTIFS('Content Log'!$A$5:$A$504,A128,'Content Log'!$AC$5:$AC$504,"&lt;="&amp;AC128))</f>
        <v/>
      </c>
      <c r="AE128" s="51" t="str">
        <f aca="false">IF(A128="","",IFERROR(INDEX(Setup!$N$9:$N$14,MATCH(O128,Setup!$M$9:$M$14,0))&amp;" ","")&amp;IF(C128="","",TEXT(C128,"h:mm AM/PM")&amp;" ")&amp;D128&amp;IF(H128="",""," · "&amp;H128))</f>
        <v/>
      </c>
      <c r="AF128" s="51" t="str">
        <f aca="false">IF(OR(A128="",AA128=""),"",IF(AND(A128&gt;=Dashboard!$G$4,A128&lt;=Dashboard!$I$4),AA128+ROW()/10^9,""))</f>
        <v/>
      </c>
      <c r="AG128" s="51" t="str">
        <f aca="false">IF(A128="","",WEEKDAY(A128,2))</f>
        <v/>
      </c>
    </row>
    <row r="129" customFormat="false" ht="15" hidden="false" customHeight="false" outlineLevel="0" collapsed="false">
      <c r="A129" s="43"/>
      <c r="B129" s="11" t="str">
        <f aca="false">IF(A129="","",TEXT(A129,"ddd"))</f>
        <v/>
      </c>
      <c r="C129" s="44"/>
      <c r="D129" s="16"/>
      <c r="E129" s="16"/>
      <c r="F129" s="16"/>
      <c r="G129" s="16"/>
      <c r="H129" s="45"/>
      <c r="I129" s="45"/>
      <c r="J129" s="11" t="str">
        <f aca="false">IF(I129="","",LEN(I129))</f>
        <v/>
      </c>
      <c r="K129" s="16"/>
      <c r="L129" s="16"/>
      <c r="M129" s="11" t="str">
        <f aca="false">IF(L129="","",IFERROR(INDEX('Hashtag Bank'!$E$5:$E$104,MATCH(L129,'Hashtag Bank'!$B$5:$B$104,0)),""))</f>
        <v/>
      </c>
      <c r="N129" s="16"/>
      <c r="O129" s="16"/>
      <c r="P129" s="16"/>
      <c r="Q129" s="46" t="str">
        <f aca="true">IF(A129&amp;H129="","",TRIM(IF(AND(A129&lt;&gt;"",A129&lt;TODAY(),O129&lt;&gt;"Published",O129&lt;&gt;"Repurpose"),"⚠ Overdue ","")&amp;IF(AND(J129&lt;&gt;"",D129&lt;&gt;"",IFERROR(J129&gt;INDEX(Setup!$E$9:$E$18,MATCH(D129,Setup!$B$9:$B$18,0)),FALSE())),"✂ Caption too long ","")&amp;IF(AND(M129&lt;&gt;"",D129&lt;&gt;"",IFERROR(M129&gt;INDEX(Setup!$F$9:$F$18,MATCH(D129,Setup!$B$9:$B$18,0)),FALSE())),"# Too many tags","")))</f>
        <v/>
      </c>
      <c r="R129" s="16"/>
      <c r="S129" s="19"/>
      <c r="T129" s="19"/>
      <c r="U129" s="19"/>
      <c r="V129" s="19"/>
      <c r="W129" s="19"/>
      <c r="X129" s="19"/>
      <c r="Y129" s="19"/>
      <c r="Z129" s="47" t="str">
        <f aca="false">IF(COUNT(U129:X129)=0,"",SUM(U129:X129))</f>
        <v/>
      </c>
      <c r="AA129" s="48" t="str">
        <f aca="false">IF(OR(Z129="",N(T129)=0),"",Z129/T129)</f>
        <v/>
      </c>
      <c r="AB129" s="45"/>
      <c r="AC129" s="51" t="str">
        <f aca="false">IF(A129="","",A129+N(C129)+ROW()/10^7)</f>
        <v/>
      </c>
      <c r="AD129" s="51" t="str">
        <f aca="false">IF(A129="","",TEXT(A129,"0")&amp;"|"&amp;COUNTIFS('Content Log'!$A$5:$A$504,A129,'Content Log'!$AC$5:$AC$504,"&lt;="&amp;AC129))</f>
        <v/>
      </c>
      <c r="AE129" s="51" t="str">
        <f aca="false">IF(A129="","",IFERROR(INDEX(Setup!$N$9:$N$14,MATCH(O129,Setup!$M$9:$M$14,0))&amp;" ","")&amp;IF(C129="","",TEXT(C129,"h:mm AM/PM")&amp;" ")&amp;D129&amp;IF(H129="",""," · "&amp;H129))</f>
        <v/>
      </c>
      <c r="AF129" s="51" t="str">
        <f aca="false">IF(OR(A129="",AA129=""),"",IF(AND(A129&gt;=Dashboard!$G$4,A129&lt;=Dashboard!$I$4),AA129+ROW()/10^9,""))</f>
        <v/>
      </c>
      <c r="AG129" s="51" t="str">
        <f aca="false">IF(A129="","",WEEKDAY(A129,2))</f>
        <v/>
      </c>
    </row>
    <row r="130" customFormat="false" ht="15" hidden="false" customHeight="false" outlineLevel="0" collapsed="false">
      <c r="A130" s="43"/>
      <c r="B130" s="11" t="str">
        <f aca="false">IF(A130="","",TEXT(A130,"ddd"))</f>
        <v/>
      </c>
      <c r="C130" s="44"/>
      <c r="D130" s="16"/>
      <c r="E130" s="16"/>
      <c r="F130" s="16"/>
      <c r="G130" s="16"/>
      <c r="H130" s="45"/>
      <c r="I130" s="45"/>
      <c r="J130" s="11" t="str">
        <f aca="false">IF(I130="","",LEN(I130))</f>
        <v/>
      </c>
      <c r="K130" s="16"/>
      <c r="L130" s="16"/>
      <c r="M130" s="11" t="str">
        <f aca="false">IF(L130="","",IFERROR(INDEX('Hashtag Bank'!$E$5:$E$104,MATCH(L130,'Hashtag Bank'!$B$5:$B$104,0)),""))</f>
        <v/>
      </c>
      <c r="N130" s="16"/>
      <c r="O130" s="16"/>
      <c r="P130" s="16"/>
      <c r="Q130" s="46" t="str">
        <f aca="true">IF(A130&amp;H130="","",TRIM(IF(AND(A130&lt;&gt;"",A130&lt;TODAY(),O130&lt;&gt;"Published",O130&lt;&gt;"Repurpose"),"⚠ Overdue ","")&amp;IF(AND(J130&lt;&gt;"",D130&lt;&gt;"",IFERROR(J130&gt;INDEX(Setup!$E$9:$E$18,MATCH(D130,Setup!$B$9:$B$18,0)),FALSE())),"✂ Caption too long ","")&amp;IF(AND(M130&lt;&gt;"",D130&lt;&gt;"",IFERROR(M130&gt;INDEX(Setup!$F$9:$F$18,MATCH(D130,Setup!$B$9:$B$18,0)),FALSE())),"# Too many tags","")))</f>
        <v/>
      </c>
      <c r="R130" s="16"/>
      <c r="S130" s="19"/>
      <c r="T130" s="19"/>
      <c r="U130" s="19"/>
      <c r="V130" s="19"/>
      <c r="W130" s="19"/>
      <c r="X130" s="19"/>
      <c r="Y130" s="19"/>
      <c r="Z130" s="47" t="str">
        <f aca="false">IF(COUNT(U130:X130)=0,"",SUM(U130:X130))</f>
        <v/>
      </c>
      <c r="AA130" s="48" t="str">
        <f aca="false">IF(OR(Z130="",N(T130)=0),"",Z130/T130)</f>
        <v/>
      </c>
      <c r="AB130" s="45"/>
      <c r="AC130" s="51" t="str">
        <f aca="false">IF(A130="","",A130+N(C130)+ROW()/10^7)</f>
        <v/>
      </c>
      <c r="AD130" s="51" t="str">
        <f aca="false">IF(A130="","",TEXT(A130,"0")&amp;"|"&amp;COUNTIFS('Content Log'!$A$5:$A$504,A130,'Content Log'!$AC$5:$AC$504,"&lt;="&amp;AC130))</f>
        <v/>
      </c>
      <c r="AE130" s="51" t="str">
        <f aca="false">IF(A130="","",IFERROR(INDEX(Setup!$N$9:$N$14,MATCH(O130,Setup!$M$9:$M$14,0))&amp;" ","")&amp;IF(C130="","",TEXT(C130,"h:mm AM/PM")&amp;" ")&amp;D130&amp;IF(H130="",""," · "&amp;H130))</f>
        <v/>
      </c>
      <c r="AF130" s="51" t="str">
        <f aca="false">IF(OR(A130="",AA130=""),"",IF(AND(A130&gt;=Dashboard!$G$4,A130&lt;=Dashboard!$I$4),AA130+ROW()/10^9,""))</f>
        <v/>
      </c>
      <c r="AG130" s="51" t="str">
        <f aca="false">IF(A130="","",WEEKDAY(A130,2))</f>
        <v/>
      </c>
    </row>
    <row r="131" customFormat="false" ht="15" hidden="false" customHeight="false" outlineLevel="0" collapsed="false">
      <c r="A131" s="43"/>
      <c r="B131" s="11" t="str">
        <f aca="false">IF(A131="","",TEXT(A131,"ddd"))</f>
        <v/>
      </c>
      <c r="C131" s="44"/>
      <c r="D131" s="16"/>
      <c r="E131" s="16"/>
      <c r="F131" s="16"/>
      <c r="G131" s="16"/>
      <c r="H131" s="45"/>
      <c r="I131" s="45"/>
      <c r="J131" s="11" t="str">
        <f aca="false">IF(I131="","",LEN(I131))</f>
        <v/>
      </c>
      <c r="K131" s="16"/>
      <c r="L131" s="16"/>
      <c r="M131" s="11" t="str">
        <f aca="false">IF(L131="","",IFERROR(INDEX('Hashtag Bank'!$E$5:$E$104,MATCH(L131,'Hashtag Bank'!$B$5:$B$104,0)),""))</f>
        <v/>
      </c>
      <c r="N131" s="16"/>
      <c r="O131" s="16"/>
      <c r="P131" s="16"/>
      <c r="Q131" s="46" t="str">
        <f aca="true">IF(A131&amp;H131="","",TRIM(IF(AND(A131&lt;&gt;"",A131&lt;TODAY(),O131&lt;&gt;"Published",O131&lt;&gt;"Repurpose"),"⚠ Overdue ","")&amp;IF(AND(J131&lt;&gt;"",D131&lt;&gt;"",IFERROR(J131&gt;INDEX(Setup!$E$9:$E$18,MATCH(D131,Setup!$B$9:$B$18,0)),FALSE())),"✂ Caption too long ","")&amp;IF(AND(M131&lt;&gt;"",D131&lt;&gt;"",IFERROR(M131&gt;INDEX(Setup!$F$9:$F$18,MATCH(D131,Setup!$B$9:$B$18,0)),FALSE())),"# Too many tags","")))</f>
        <v/>
      </c>
      <c r="R131" s="16"/>
      <c r="S131" s="19"/>
      <c r="T131" s="19"/>
      <c r="U131" s="19"/>
      <c r="V131" s="19"/>
      <c r="W131" s="19"/>
      <c r="X131" s="19"/>
      <c r="Y131" s="19"/>
      <c r="Z131" s="47" t="str">
        <f aca="false">IF(COUNT(U131:X131)=0,"",SUM(U131:X131))</f>
        <v/>
      </c>
      <c r="AA131" s="48" t="str">
        <f aca="false">IF(OR(Z131="",N(T131)=0),"",Z131/T131)</f>
        <v/>
      </c>
      <c r="AB131" s="45"/>
      <c r="AC131" s="51" t="str">
        <f aca="false">IF(A131="","",A131+N(C131)+ROW()/10^7)</f>
        <v/>
      </c>
      <c r="AD131" s="51" t="str">
        <f aca="false">IF(A131="","",TEXT(A131,"0")&amp;"|"&amp;COUNTIFS('Content Log'!$A$5:$A$504,A131,'Content Log'!$AC$5:$AC$504,"&lt;="&amp;AC131))</f>
        <v/>
      </c>
      <c r="AE131" s="51" t="str">
        <f aca="false">IF(A131="","",IFERROR(INDEX(Setup!$N$9:$N$14,MATCH(O131,Setup!$M$9:$M$14,0))&amp;" ","")&amp;IF(C131="","",TEXT(C131,"h:mm AM/PM")&amp;" ")&amp;D131&amp;IF(H131="",""," · "&amp;H131))</f>
        <v/>
      </c>
      <c r="AF131" s="51" t="str">
        <f aca="false">IF(OR(A131="",AA131=""),"",IF(AND(A131&gt;=Dashboard!$G$4,A131&lt;=Dashboard!$I$4),AA131+ROW()/10^9,""))</f>
        <v/>
      </c>
      <c r="AG131" s="51" t="str">
        <f aca="false">IF(A131="","",WEEKDAY(A131,2))</f>
        <v/>
      </c>
    </row>
    <row r="132" customFormat="false" ht="15" hidden="false" customHeight="false" outlineLevel="0" collapsed="false">
      <c r="A132" s="43"/>
      <c r="B132" s="11" t="str">
        <f aca="false">IF(A132="","",TEXT(A132,"ddd"))</f>
        <v/>
      </c>
      <c r="C132" s="44"/>
      <c r="D132" s="16"/>
      <c r="E132" s="16"/>
      <c r="F132" s="16"/>
      <c r="G132" s="16"/>
      <c r="H132" s="45"/>
      <c r="I132" s="45"/>
      <c r="J132" s="11" t="str">
        <f aca="false">IF(I132="","",LEN(I132))</f>
        <v/>
      </c>
      <c r="K132" s="16"/>
      <c r="L132" s="16"/>
      <c r="M132" s="11" t="str">
        <f aca="false">IF(L132="","",IFERROR(INDEX('Hashtag Bank'!$E$5:$E$104,MATCH(L132,'Hashtag Bank'!$B$5:$B$104,0)),""))</f>
        <v/>
      </c>
      <c r="N132" s="16"/>
      <c r="O132" s="16"/>
      <c r="P132" s="16"/>
      <c r="Q132" s="46" t="str">
        <f aca="true">IF(A132&amp;H132="","",TRIM(IF(AND(A132&lt;&gt;"",A132&lt;TODAY(),O132&lt;&gt;"Published",O132&lt;&gt;"Repurpose"),"⚠ Overdue ","")&amp;IF(AND(J132&lt;&gt;"",D132&lt;&gt;"",IFERROR(J132&gt;INDEX(Setup!$E$9:$E$18,MATCH(D132,Setup!$B$9:$B$18,0)),FALSE())),"✂ Caption too long ","")&amp;IF(AND(M132&lt;&gt;"",D132&lt;&gt;"",IFERROR(M132&gt;INDEX(Setup!$F$9:$F$18,MATCH(D132,Setup!$B$9:$B$18,0)),FALSE())),"# Too many tags","")))</f>
        <v/>
      </c>
      <c r="R132" s="16"/>
      <c r="S132" s="19"/>
      <c r="T132" s="19"/>
      <c r="U132" s="19"/>
      <c r="V132" s="19"/>
      <c r="W132" s="19"/>
      <c r="X132" s="19"/>
      <c r="Y132" s="19"/>
      <c r="Z132" s="47" t="str">
        <f aca="false">IF(COUNT(U132:X132)=0,"",SUM(U132:X132))</f>
        <v/>
      </c>
      <c r="AA132" s="48" t="str">
        <f aca="false">IF(OR(Z132="",N(T132)=0),"",Z132/T132)</f>
        <v/>
      </c>
      <c r="AB132" s="45"/>
      <c r="AC132" s="51" t="str">
        <f aca="false">IF(A132="","",A132+N(C132)+ROW()/10^7)</f>
        <v/>
      </c>
      <c r="AD132" s="51" t="str">
        <f aca="false">IF(A132="","",TEXT(A132,"0")&amp;"|"&amp;COUNTIFS('Content Log'!$A$5:$A$504,A132,'Content Log'!$AC$5:$AC$504,"&lt;="&amp;AC132))</f>
        <v/>
      </c>
      <c r="AE132" s="51" t="str">
        <f aca="false">IF(A132="","",IFERROR(INDEX(Setup!$N$9:$N$14,MATCH(O132,Setup!$M$9:$M$14,0))&amp;" ","")&amp;IF(C132="","",TEXT(C132,"h:mm AM/PM")&amp;" ")&amp;D132&amp;IF(H132="",""," · "&amp;H132))</f>
        <v/>
      </c>
      <c r="AF132" s="51" t="str">
        <f aca="false">IF(OR(A132="",AA132=""),"",IF(AND(A132&gt;=Dashboard!$G$4,A132&lt;=Dashboard!$I$4),AA132+ROW()/10^9,""))</f>
        <v/>
      </c>
      <c r="AG132" s="51" t="str">
        <f aca="false">IF(A132="","",WEEKDAY(A132,2))</f>
        <v/>
      </c>
    </row>
    <row r="133" customFormat="false" ht="15" hidden="false" customHeight="false" outlineLevel="0" collapsed="false">
      <c r="A133" s="43"/>
      <c r="B133" s="11" t="str">
        <f aca="false">IF(A133="","",TEXT(A133,"ddd"))</f>
        <v/>
      </c>
      <c r="C133" s="44"/>
      <c r="D133" s="16"/>
      <c r="E133" s="16"/>
      <c r="F133" s="16"/>
      <c r="G133" s="16"/>
      <c r="H133" s="45"/>
      <c r="I133" s="45"/>
      <c r="J133" s="11" t="str">
        <f aca="false">IF(I133="","",LEN(I133))</f>
        <v/>
      </c>
      <c r="K133" s="16"/>
      <c r="L133" s="16"/>
      <c r="M133" s="11" t="str">
        <f aca="false">IF(L133="","",IFERROR(INDEX('Hashtag Bank'!$E$5:$E$104,MATCH(L133,'Hashtag Bank'!$B$5:$B$104,0)),""))</f>
        <v/>
      </c>
      <c r="N133" s="16"/>
      <c r="O133" s="16"/>
      <c r="P133" s="16"/>
      <c r="Q133" s="46" t="str">
        <f aca="true">IF(A133&amp;H133="","",TRIM(IF(AND(A133&lt;&gt;"",A133&lt;TODAY(),O133&lt;&gt;"Published",O133&lt;&gt;"Repurpose"),"⚠ Overdue ","")&amp;IF(AND(J133&lt;&gt;"",D133&lt;&gt;"",IFERROR(J133&gt;INDEX(Setup!$E$9:$E$18,MATCH(D133,Setup!$B$9:$B$18,0)),FALSE())),"✂ Caption too long ","")&amp;IF(AND(M133&lt;&gt;"",D133&lt;&gt;"",IFERROR(M133&gt;INDEX(Setup!$F$9:$F$18,MATCH(D133,Setup!$B$9:$B$18,0)),FALSE())),"# Too many tags","")))</f>
        <v/>
      </c>
      <c r="R133" s="16"/>
      <c r="S133" s="19"/>
      <c r="T133" s="19"/>
      <c r="U133" s="19"/>
      <c r="V133" s="19"/>
      <c r="W133" s="19"/>
      <c r="X133" s="19"/>
      <c r="Y133" s="19"/>
      <c r="Z133" s="47" t="str">
        <f aca="false">IF(COUNT(U133:X133)=0,"",SUM(U133:X133))</f>
        <v/>
      </c>
      <c r="AA133" s="48" t="str">
        <f aca="false">IF(OR(Z133="",N(T133)=0),"",Z133/T133)</f>
        <v/>
      </c>
      <c r="AB133" s="45"/>
      <c r="AC133" s="51" t="str">
        <f aca="false">IF(A133="","",A133+N(C133)+ROW()/10^7)</f>
        <v/>
      </c>
      <c r="AD133" s="51" t="str">
        <f aca="false">IF(A133="","",TEXT(A133,"0")&amp;"|"&amp;COUNTIFS('Content Log'!$A$5:$A$504,A133,'Content Log'!$AC$5:$AC$504,"&lt;="&amp;AC133))</f>
        <v/>
      </c>
      <c r="AE133" s="51" t="str">
        <f aca="false">IF(A133="","",IFERROR(INDEX(Setup!$N$9:$N$14,MATCH(O133,Setup!$M$9:$M$14,0))&amp;" ","")&amp;IF(C133="","",TEXT(C133,"h:mm AM/PM")&amp;" ")&amp;D133&amp;IF(H133="",""," · "&amp;H133))</f>
        <v/>
      </c>
      <c r="AF133" s="51" t="str">
        <f aca="false">IF(OR(A133="",AA133=""),"",IF(AND(A133&gt;=Dashboard!$G$4,A133&lt;=Dashboard!$I$4),AA133+ROW()/10^9,""))</f>
        <v/>
      </c>
      <c r="AG133" s="51" t="str">
        <f aca="false">IF(A133="","",WEEKDAY(A133,2))</f>
        <v/>
      </c>
    </row>
    <row r="134" customFormat="false" ht="15" hidden="false" customHeight="false" outlineLevel="0" collapsed="false">
      <c r="A134" s="43"/>
      <c r="B134" s="11" t="str">
        <f aca="false">IF(A134="","",TEXT(A134,"ddd"))</f>
        <v/>
      </c>
      <c r="C134" s="44"/>
      <c r="D134" s="16"/>
      <c r="E134" s="16"/>
      <c r="F134" s="16"/>
      <c r="G134" s="16"/>
      <c r="H134" s="45"/>
      <c r="I134" s="45"/>
      <c r="J134" s="11" t="str">
        <f aca="false">IF(I134="","",LEN(I134))</f>
        <v/>
      </c>
      <c r="K134" s="16"/>
      <c r="L134" s="16"/>
      <c r="M134" s="11" t="str">
        <f aca="false">IF(L134="","",IFERROR(INDEX('Hashtag Bank'!$E$5:$E$104,MATCH(L134,'Hashtag Bank'!$B$5:$B$104,0)),""))</f>
        <v/>
      </c>
      <c r="N134" s="16"/>
      <c r="O134" s="16"/>
      <c r="P134" s="16"/>
      <c r="Q134" s="46" t="str">
        <f aca="true">IF(A134&amp;H134="","",TRIM(IF(AND(A134&lt;&gt;"",A134&lt;TODAY(),O134&lt;&gt;"Published",O134&lt;&gt;"Repurpose"),"⚠ Overdue ","")&amp;IF(AND(J134&lt;&gt;"",D134&lt;&gt;"",IFERROR(J134&gt;INDEX(Setup!$E$9:$E$18,MATCH(D134,Setup!$B$9:$B$18,0)),FALSE())),"✂ Caption too long ","")&amp;IF(AND(M134&lt;&gt;"",D134&lt;&gt;"",IFERROR(M134&gt;INDEX(Setup!$F$9:$F$18,MATCH(D134,Setup!$B$9:$B$18,0)),FALSE())),"# Too many tags","")))</f>
        <v/>
      </c>
      <c r="R134" s="16"/>
      <c r="S134" s="19"/>
      <c r="T134" s="19"/>
      <c r="U134" s="19"/>
      <c r="V134" s="19"/>
      <c r="W134" s="19"/>
      <c r="X134" s="19"/>
      <c r="Y134" s="19"/>
      <c r="Z134" s="47" t="str">
        <f aca="false">IF(COUNT(U134:X134)=0,"",SUM(U134:X134))</f>
        <v/>
      </c>
      <c r="AA134" s="48" t="str">
        <f aca="false">IF(OR(Z134="",N(T134)=0),"",Z134/T134)</f>
        <v/>
      </c>
      <c r="AB134" s="45"/>
      <c r="AC134" s="51" t="str">
        <f aca="false">IF(A134="","",A134+N(C134)+ROW()/10^7)</f>
        <v/>
      </c>
      <c r="AD134" s="51" t="str">
        <f aca="false">IF(A134="","",TEXT(A134,"0")&amp;"|"&amp;COUNTIFS('Content Log'!$A$5:$A$504,A134,'Content Log'!$AC$5:$AC$504,"&lt;="&amp;AC134))</f>
        <v/>
      </c>
      <c r="AE134" s="51" t="str">
        <f aca="false">IF(A134="","",IFERROR(INDEX(Setup!$N$9:$N$14,MATCH(O134,Setup!$M$9:$M$14,0))&amp;" ","")&amp;IF(C134="","",TEXT(C134,"h:mm AM/PM")&amp;" ")&amp;D134&amp;IF(H134="",""," · "&amp;H134))</f>
        <v/>
      </c>
      <c r="AF134" s="51" t="str">
        <f aca="false">IF(OR(A134="",AA134=""),"",IF(AND(A134&gt;=Dashboard!$G$4,A134&lt;=Dashboard!$I$4),AA134+ROW()/10^9,""))</f>
        <v/>
      </c>
      <c r="AG134" s="51" t="str">
        <f aca="false">IF(A134="","",WEEKDAY(A134,2))</f>
        <v/>
      </c>
    </row>
    <row r="135" customFormat="false" ht="15" hidden="false" customHeight="false" outlineLevel="0" collapsed="false">
      <c r="A135" s="43"/>
      <c r="B135" s="11" t="str">
        <f aca="false">IF(A135="","",TEXT(A135,"ddd"))</f>
        <v/>
      </c>
      <c r="C135" s="44"/>
      <c r="D135" s="16"/>
      <c r="E135" s="16"/>
      <c r="F135" s="16"/>
      <c r="G135" s="16"/>
      <c r="H135" s="45"/>
      <c r="I135" s="45"/>
      <c r="J135" s="11" t="str">
        <f aca="false">IF(I135="","",LEN(I135))</f>
        <v/>
      </c>
      <c r="K135" s="16"/>
      <c r="L135" s="16"/>
      <c r="M135" s="11" t="str">
        <f aca="false">IF(L135="","",IFERROR(INDEX('Hashtag Bank'!$E$5:$E$104,MATCH(L135,'Hashtag Bank'!$B$5:$B$104,0)),""))</f>
        <v/>
      </c>
      <c r="N135" s="16"/>
      <c r="O135" s="16"/>
      <c r="P135" s="16"/>
      <c r="Q135" s="46" t="str">
        <f aca="true">IF(A135&amp;H135="","",TRIM(IF(AND(A135&lt;&gt;"",A135&lt;TODAY(),O135&lt;&gt;"Published",O135&lt;&gt;"Repurpose"),"⚠ Overdue ","")&amp;IF(AND(J135&lt;&gt;"",D135&lt;&gt;"",IFERROR(J135&gt;INDEX(Setup!$E$9:$E$18,MATCH(D135,Setup!$B$9:$B$18,0)),FALSE())),"✂ Caption too long ","")&amp;IF(AND(M135&lt;&gt;"",D135&lt;&gt;"",IFERROR(M135&gt;INDEX(Setup!$F$9:$F$18,MATCH(D135,Setup!$B$9:$B$18,0)),FALSE())),"# Too many tags","")))</f>
        <v/>
      </c>
      <c r="R135" s="16"/>
      <c r="S135" s="19"/>
      <c r="T135" s="19"/>
      <c r="U135" s="19"/>
      <c r="V135" s="19"/>
      <c r="W135" s="19"/>
      <c r="X135" s="19"/>
      <c r="Y135" s="19"/>
      <c r="Z135" s="47" t="str">
        <f aca="false">IF(COUNT(U135:X135)=0,"",SUM(U135:X135))</f>
        <v/>
      </c>
      <c r="AA135" s="48" t="str">
        <f aca="false">IF(OR(Z135="",N(T135)=0),"",Z135/T135)</f>
        <v/>
      </c>
      <c r="AB135" s="45"/>
      <c r="AC135" s="51" t="str">
        <f aca="false">IF(A135="","",A135+N(C135)+ROW()/10^7)</f>
        <v/>
      </c>
      <c r="AD135" s="51" t="str">
        <f aca="false">IF(A135="","",TEXT(A135,"0")&amp;"|"&amp;COUNTIFS('Content Log'!$A$5:$A$504,A135,'Content Log'!$AC$5:$AC$504,"&lt;="&amp;AC135))</f>
        <v/>
      </c>
      <c r="AE135" s="51" t="str">
        <f aca="false">IF(A135="","",IFERROR(INDEX(Setup!$N$9:$N$14,MATCH(O135,Setup!$M$9:$M$14,0))&amp;" ","")&amp;IF(C135="","",TEXT(C135,"h:mm AM/PM")&amp;" ")&amp;D135&amp;IF(H135="",""," · "&amp;H135))</f>
        <v/>
      </c>
      <c r="AF135" s="51" t="str">
        <f aca="false">IF(OR(A135="",AA135=""),"",IF(AND(A135&gt;=Dashboard!$G$4,A135&lt;=Dashboard!$I$4),AA135+ROW()/10^9,""))</f>
        <v/>
      </c>
      <c r="AG135" s="51" t="str">
        <f aca="false">IF(A135="","",WEEKDAY(A135,2))</f>
        <v/>
      </c>
    </row>
    <row r="136" customFormat="false" ht="15" hidden="false" customHeight="false" outlineLevel="0" collapsed="false">
      <c r="A136" s="43"/>
      <c r="B136" s="11" t="str">
        <f aca="false">IF(A136="","",TEXT(A136,"ddd"))</f>
        <v/>
      </c>
      <c r="C136" s="44"/>
      <c r="D136" s="16"/>
      <c r="E136" s="16"/>
      <c r="F136" s="16"/>
      <c r="G136" s="16"/>
      <c r="H136" s="45"/>
      <c r="I136" s="45"/>
      <c r="J136" s="11" t="str">
        <f aca="false">IF(I136="","",LEN(I136))</f>
        <v/>
      </c>
      <c r="K136" s="16"/>
      <c r="L136" s="16"/>
      <c r="M136" s="11" t="str">
        <f aca="false">IF(L136="","",IFERROR(INDEX('Hashtag Bank'!$E$5:$E$104,MATCH(L136,'Hashtag Bank'!$B$5:$B$104,0)),""))</f>
        <v/>
      </c>
      <c r="N136" s="16"/>
      <c r="O136" s="16"/>
      <c r="P136" s="16"/>
      <c r="Q136" s="46" t="str">
        <f aca="true">IF(A136&amp;H136="","",TRIM(IF(AND(A136&lt;&gt;"",A136&lt;TODAY(),O136&lt;&gt;"Published",O136&lt;&gt;"Repurpose"),"⚠ Overdue ","")&amp;IF(AND(J136&lt;&gt;"",D136&lt;&gt;"",IFERROR(J136&gt;INDEX(Setup!$E$9:$E$18,MATCH(D136,Setup!$B$9:$B$18,0)),FALSE())),"✂ Caption too long ","")&amp;IF(AND(M136&lt;&gt;"",D136&lt;&gt;"",IFERROR(M136&gt;INDEX(Setup!$F$9:$F$18,MATCH(D136,Setup!$B$9:$B$18,0)),FALSE())),"# Too many tags","")))</f>
        <v/>
      </c>
      <c r="R136" s="16"/>
      <c r="S136" s="19"/>
      <c r="T136" s="19"/>
      <c r="U136" s="19"/>
      <c r="V136" s="19"/>
      <c r="W136" s="19"/>
      <c r="X136" s="19"/>
      <c r="Y136" s="19"/>
      <c r="Z136" s="47" t="str">
        <f aca="false">IF(COUNT(U136:X136)=0,"",SUM(U136:X136))</f>
        <v/>
      </c>
      <c r="AA136" s="48" t="str">
        <f aca="false">IF(OR(Z136="",N(T136)=0),"",Z136/T136)</f>
        <v/>
      </c>
      <c r="AB136" s="45"/>
      <c r="AC136" s="51" t="str">
        <f aca="false">IF(A136="","",A136+N(C136)+ROW()/10^7)</f>
        <v/>
      </c>
      <c r="AD136" s="51" t="str">
        <f aca="false">IF(A136="","",TEXT(A136,"0")&amp;"|"&amp;COUNTIFS('Content Log'!$A$5:$A$504,A136,'Content Log'!$AC$5:$AC$504,"&lt;="&amp;AC136))</f>
        <v/>
      </c>
      <c r="AE136" s="51" t="str">
        <f aca="false">IF(A136="","",IFERROR(INDEX(Setup!$N$9:$N$14,MATCH(O136,Setup!$M$9:$M$14,0))&amp;" ","")&amp;IF(C136="","",TEXT(C136,"h:mm AM/PM")&amp;" ")&amp;D136&amp;IF(H136="",""," · "&amp;H136))</f>
        <v/>
      </c>
      <c r="AF136" s="51" t="str">
        <f aca="false">IF(OR(A136="",AA136=""),"",IF(AND(A136&gt;=Dashboard!$G$4,A136&lt;=Dashboard!$I$4),AA136+ROW()/10^9,""))</f>
        <v/>
      </c>
      <c r="AG136" s="51" t="str">
        <f aca="false">IF(A136="","",WEEKDAY(A136,2))</f>
        <v/>
      </c>
    </row>
    <row r="137" customFormat="false" ht="15" hidden="false" customHeight="false" outlineLevel="0" collapsed="false">
      <c r="A137" s="43"/>
      <c r="B137" s="11" t="str">
        <f aca="false">IF(A137="","",TEXT(A137,"ddd"))</f>
        <v/>
      </c>
      <c r="C137" s="44"/>
      <c r="D137" s="16"/>
      <c r="E137" s="16"/>
      <c r="F137" s="16"/>
      <c r="G137" s="16"/>
      <c r="H137" s="45"/>
      <c r="I137" s="45"/>
      <c r="J137" s="11" t="str">
        <f aca="false">IF(I137="","",LEN(I137))</f>
        <v/>
      </c>
      <c r="K137" s="16"/>
      <c r="L137" s="16"/>
      <c r="M137" s="11" t="str">
        <f aca="false">IF(L137="","",IFERROR(INDEX('Hashtag Bank'!$E$5:$E$104,MATCH(L137,'Hashtag Bank'!$B$5:$B$104,0)),""))</f>
        <v/>
      </c>
      <c r="N137" s="16"/>
      <c r="O137" s="16"/>
      <c r="P137" s="16"/>
      <c r="Q137" s="46" t="str">
        <f aca="true">IF(A137&amp;H137="","",TRIM(IF(AND(A137&lt;&gt;"",A137&lt;TODAY(),O137&lt;&gt;"Published",O137&lt;&gt;"Repurpose"),"⚠ Overdue ","")&amp;IF(AND(J137&lt;&gt;"",D137&lt;&gt;"",IFERROR(J137&gt;INDEX(Setup!$E$9:$E$18,MATCH(D137,Setup!$B$9:$B$18,0)),FALSE())),"✂ Caption too long ","")&amp;IF(AND(M137&lt;&gt;"",D137&lt;&gt;"",IFERROR(M137&gt;INDEX(Setup!$F$9:$F$18,MATCH(D137,Setup!$B$9:$B$18,0)),FALSE())),"# Too many tags","")))</f>
        <v/>
      </c>
      <c r="R137" s="16"/>
      <c r="S137" s="19"/>
      <c r="T137" s="19"/>
      <c r="U137" s="19"/>
      <c r="V137" s="19"/>
      <c r="W137" s="19"/>
      <c r="X137" s="19"/>
      <c r="Y137" s="19"/>
      <c r="Z137" s="47" t="str">
        <f aca="false">IF(COUNT(U137:X137)=0,"",SUM(U137:X137))</f>
        <v/>
      </c>
      <c r="AA137" s="48" t="str">
        <f aca="false">IF(OR(Z137="",N(T137)=0),"",Z137/T137)</f>
        <v/>
      </c>
      <c r="AB137" s="45"/>
      <c r="AC137" s="51" t="str">
        <f aca="false">IF(A137="","",A137+N(C137)+ROW()/10^7)</f>
        <v/>
      </c>
      <c r="AD137" s="51" t="str">
        <f aca="false">IF(A137="","",TEXT(A137,"0")&amp;"|"&amp;COUNTIFS('Content Log'!$A$5:$A$504,A137,'Content Log'!$AC$5:$AC$504,"&lt;="&amp;AC137))</f>
        <v/>
      </c>
      <c r="AE137" s="51" t="str">
        <f aca="false">IF(A137="","",IFERROR(INDEX(Setup!$N$9:$N$14,MATCH(O137,Setup!$M$9:$M$14,0))&amp;" ","")&amp;IF(C137="","",TEXT(C137,"h:mm AM/PM")&amp;" ")&amp;D137&amp;IF(H137="",""," · "&amp;H137))</f>
        <v/>
      </c>
      <c r="AF137" s="51" t="str">
        <f aca="false">IF(OR(A137="",AA137=""),"",IF(AND(A137&gt;=Dashboard!$G$4,A137&lt;=Dashboard!$I$4),AA137+ROW()/10^9,""))</f>
        <v/>
      </c>
      <c r="AG137" s="51" t="str">
        <f aca="false">IF(A137="","",WEEKDAY(A137,2))</f>
        <v/>
      </c>
    </row>
    <row r="138" customFormat="false" ht="15" hidden="false" customHeight="false" outlineLevel="0" collapsed="false">
      <c r="A138" s="43"/>
      <c r="B138" s="11" t="str">
        <f aca="false">IF(A138="","",TEXT(A138,"ddd"))</f>
        <v/>
      </c>
      <c r="C138" s="44"/>
      <c r="D138" s="16"/>
      <c r="E138" s="16"/>
      <c r="F138" s="16"/>
      <c r="G138" s="16"/>
      <c r="H138" s="45"/>
      <c r="I138" s="45"/>
      <c r="J138" s="11" t="str">
        <f aca="false">IF(I138="","",LEN(I138))</f>
        <v/>
      </c>
      <c r="K138" s="16"/>
      <c r="L138" s="16"/>
      <c r="M138" s="11" t="str">
        <f aca="false">IF(L138="","",IFERROR(INDEX('Hashtag Bank'!$E$5:$E$104,MATCH(L138,'Hashtag Bank'!$B$5:$B$104,0)),""))</f>
        <v/>
      </c>
      <c r="N138" s="16"/>
      <c r="O138" s="16"/>
      <c r="P138" s="16"/>
      <c r="Q138" s="46" t="str">
        <f aca="true">IF(A138&amp;H138="","",TRIM(IF(AND(A138&lt;&gt;"",A138&lt;TODAY(),O138&lt;&gt;"Published",O138&lt;&gt;"Repurpose"),"⚠ Overdue ","")&amp;IF(AND(J138&lt;&gt;"",D138&lt;&gt;"",IFERROR(J138&gt;INDEX(Setup!$E$9:$E$18,MATCH(D138,Setup!$B$9:$B$18,0)),FALSE())),"✂ Caption too long ","")&amp;IF(AND(M138&lt;&gt;"",D138&lt;&gt;"",IFERROR(M138&gt;INDEX(Setup!$F$9:$F$18,MATCH(D138,Setup!$B$9:$B$18,0)),FALSE())),"# Too many tags","")))</f>
        <v/>
      </c>
      <c r="R138" s="16"/>
      <c r="S138" s="19"/>
      <c r="T138" s="19"/>
      <c r="U138" s="19"/>
      <c r="V138" s="19"/>
      <c r="W138" s="19"/>
      <c r="X138" s="19"/>
      <c r="Y138" s="19"/>
      <c r="Z138" s="47" t="str">
        <f aca="false">IF(COUNT(U138:X138)=0,"",SUM(U138:X138))</f>
        <v/>
      </c>
      <c r="AA138" s="48" t="str">
        <f aca="false">IF(OR(Z138="",N(T138)=0),"",Z138/T138)</f>
        <v/>
      </c>
      <c r="AB138" s="45"/>
      <c r="AC138" s="51" t="str">
        <f aca="false">IF(A138="","",A138+N(C138)+ROW()/10^7)</f>
        <v/>
      </c>
      <c r="AD138" s="51" t="str">
        <f aca="false">IF(A138="","",TEXT(A138,"0")&amp;"|"&amp;COUNTIFS('Content Log'!$A$5:$A$504,A138,'Content Log'!$AC$5:$AC$504,"&lt;="&amp;AC138))</f>
        <v/>
      </c>
      <c r="AE138" s="51" t="str">
        <f aca="false">IF(A138="","",IFERROR(INDEX(Setup!$N$9:$N$14,MATCH(O138,Setup!$M$9:$M$14,0))&amp;" ","")&amp;IF(C138="","",TEXT(C138,"h:mm AM/PM")&amp;" ")&amp;D138&amp;IF(H138="",""," · "&amp;H138))</f>
        <v/>
      </c>
      <c r="AF138" s="51" t="str">
        <f aca="false">IF(OR(A138="",AA138=""),"",IF(AND(A138&gt;=Dashboard!$G$4,A138&lt;=Dashboard!$I$4),AA138+ROW()/10^9,""))</f>
        <v/>
      </c>
      <c r="AG138" s="51" t="str">
        <f aca="false">IF(A138="","",WEEKDAY(A138,2))</f>
        <v/>
      </c>
    </row>
    <row r="139" customFormat="false" ht="15" hidden="false" customHeight="false" outlineLevel="0" collapsed="false">
      <c r="A139" s="43"/>
      <c r="B139" s="11" t="str">
        <f aca="false">IF(A139="","",TEXT(A139,"ddd"))</f>
        <v/>
      </c>
      <c r="C139" s="44"/>
      <c r="D139" s="16"/>
      <c r="E139" s="16"/>
      <c r="F139" s="16"/>
      <c r="G139" s="16"/>
      <c r="H139" s="45"/>
      <c r="I139" s="45"/>
      <c r="J139" s="11" t="str">
        <f aca="false">IF(I139="","",LEN(I139))</f>
        <v/>
      </c>
      <c r="K139" s="16"/>
      <c r="L139" s="16"/>
      <c r="M139" s="11" t="str">
        <f aca="false">IF(L139="","",IFERROR(INDEX('Hashtag Bank'!$E$5:$E$104,MATCH(L139,'Hashtag Bank'!$B$5:$B$104,0)),""))</f>
        <v/>
      </c>
      <c r="N139" s="16"/>
      <c r="O139" s="16"/>
      <c r="P139" s="16"/>
      <c r="Q139" s="46" t="str">
        <f aca="true">IF(A139&amp;H139="","",TRIM(IF(AND(A139&lt;&gt;"",A139&lt;TODAY(),O139&lt;&gt;"Published",O139&lt;&gt;"Repurpose"),"⚠ Overdue ","")&amp;IF(AND(J139&lt;&gt;"",D139&lt;&gt;"",IFERROR(J139&gt;INDEX(Setup!$E$9:$E$18,MATCH(D139,Setup!$B$9:$B$18,0)),FALSE())),"✂ Caption too long ","")&amp;IF(AND(M139&lt;&gt;"",D139&lt;&gt;"",IFERROR(M139&gt;INDEX(Setup!$F$9:$F$18,MATCH(D139,Setup!$B$9:$B$18,0)),FALSE())),"# Too many tags","")))</f>
        <v/>
      </c>
      <c r="R139" s="16"/>
      <c r="S139" s="19"/>
      <c r="T139" s="19"/>
      <c r="U139" s="19"/>
      <c r="V139" s="19"/>
      <c r="W139" s="19"/>
      <c r="X139" s="19"/>
      <c r="Y139" s="19"/>
      <c r="Z139" s="47" t="str">
        <f aca="false">IF(COUNT(U139:X139)=0,"",SUM(U139:X139))</f>
        <v/>
      </c>
      <c r="AA139" s="48" t="str">
        <f aca="false">IF(OR(Z139="",N(T139)=0),"",Z139/T139)</f>
        <v/>
      </c>
      <c r="AB139" s="45"/>
      <c r="AC139" s="51" t="str">
        <f aca="false">IF(A139="","",A139+N(C139)+ROW()/10^7)</f>
        <v/>
      </c>
      <c r="AD139" s="51" t="str">
        <f aca="false">IF(A139="","",TEXT(A139,"0")&amp;"|"&amp;COUNTIFS('Content Log'!$A$5:$A$504,A139,'Content Log'!$AC$5:$AC$504,"&lt;="&amp;AC139))</f>
        <v/>
      </c>
      <c r="AE139" s="51" t="str">
        <f aca="false">IF(A139="","",IFERROR(INDEX(Setup!$N$9:$N$14,MATCH(O139,Setup!$M$9:$M$14,0))&amp;" ","")&amp;IF(C139="","",TEXT(C139,"h:mm AM/PM")&amp;" ")&amp;D139&amp;IF(H139="",""," · "&amp;H139))</f>
        <v/>
      </c>
      <c r="AF139" s="51" t="str">
        <f aca="false">IF(OR(A139="",AA139=""),"",IF(AND(A139&gt;=Dashboard!$G$4,A139&lt;=Dashboard!$I$4),AA139+ROW()/10^9,""))</f>
        <v/>
      </c>
      <c r="AG139" s="51" t="str">
        <f aca="false">IF(A139="","",WEEKDAY(A139,2))</f>
        <v/>
      </c>
    </row>
    <row r="140" customFormat="false" ht="15" hidden="false" customHeight="false" outlineLevel="0" collapsed="false">
      <c r="A140" s="43"/>
      <c r="B140" s="11" t="str">
        <f aca="false">IF(A140="","",TEXT(A140,"ddd"))</f>
        <v/>
      </c>
      <c r="C140" s="44"/>
      <c r="D140" s="16"/>
      <c r="E140" s="16"/>
      <c r="F140" s="16"/>
      <c r="G140" s="16"/>
      <c r="H140" s="45"/>
      <c r="I140" s="45"/>
      <c r="J140" s="11" t="str">
        <f aca="false">IF(I140="","",LEN(I140))</f>
        <v/>
      </c>
      <c r="K140" s="16"/>
      <c r="L140" s="16"/>
      <c r="M140" s="11" t="str">
        <f aca="false">IF(L140="","",IFERROR(INDEX('Hashtag Bank'!$E$5:$E$104,MATCH(L140,'Hashtag Bank'!$B$5:$B$104,0)),""))</f>
        <v/>
      </c>
      <c r="N140" s="16"/>
      <c r="O140" s="16"/>
      <c r="P140" s="16"/>
      <c r="Q140" s="46" t="str">
        <f aca="true">IF(A140&amp;H140="","",TRIM(IF(AND(A140&lt;&gt;"",A140&lt;TODAY(),O140&lt;&gt;"Published",O140&lt;&gt;"Repurpose"),"⚠ Overdue ","")&amp;IF(AND(J140&lt;&gt;"",D140&lt;&gt;"",IFERROR(J140&gt;INDEX(Setup!$E$9:$E$18,MATCH(D140,Setup!$B$9:$B$18,0)),FALSE())),"✂ Caption too long ","")&amp;IF(AND(M140&lt;&gt;"",D140&lt;&gt;"",IFERROR(M140&gt;INDEX(Setup!$F$9:$F$18,MATCH(D140,Setup!$B$9:$B$18,0)),FALSE())),"# Too many tags","")))</f>
        <v/>
      </c>
      <c r="R140" s="16"/>
      <c r="S140" s="19"/>
      <c r="T140" s="19"/>
      <c r="U140" s="19"/>
      <c r="V140" s="19"/>
      <c r="W140" s="19"/>
      <c r="X140" s="19"/>
      <c r="Y140" s="19"/>
      <c r="Z140" s="47" t="str">
        <f aca="false">IF(COUNT(U140:X140)=0,"",SUM(U140:X140))</f>
        <v/>
      </c>
      <c r="AA140" s="48" t="str">
        <f aca="false">IF(OR(Z140="",N(T140)=0),"",Z140/T140)</f>
        <v/>
      </c>
      <c r="AB140" s="45"/>
      <c r="AC140" s="51" t="str">
        <f aca="false">IF(A140="","",A140+N(C140)+ROW()/10^7)</f>
        <v/>
      </c>
      <c r="AD140" s="51" t="str">
        <f aca="false">IF(A140="","",TEXT(A140,"0")&amp;"|"&amp;COUNTIFS('Content Log'!$A$5:$A$504,A140,'Content Log'!$AC$5:$AC$504,"&lt;="&amp;AC140))</f>
        <v/>
      </c>
      <c r="AE140" s="51" t="str">
        <f aca="false">IF(A140="","",IFERROR(INDEX(Setup!$N$9:$N$14,MATCH(O140,Setup!$M$9:$M$14,0))&amp;" ","")&amp;IF(C140="","",TEXT(C140,"h:mm AM/PM")&amp;" ")&amp;D140&amp;IF(H140="",""," · "&amp;H140))</f>
        <v/>
      </c>
      <c r="AF140" s="51" t="str">
        <f aca="false">IF(OR(A140="",AA140=""),"",IF(AND(A140&gt;=Dashboard!$G$4,A140&lt;=Dashboard!$I$4),AA140+ROW()/10^9,""))</f>
        <v/>
      </c>
      <c r="AG140" s="51" t="str">
        <f aca="false">IF(A140="","",WEEKDAY(A140,2))</f>
        <v/>
      </c>
    </row>
    <row r="141" customFormat="false" ht="15" hidden="false" customHeight="false" outlineLevel="0" collapsed="false">
      <c r="A141" s="43"/>
      <c r="B141" s="11" t="str">
        <f aca="false">IF(A141="","",TEXT(A141,"ddd"))</f>
        <v/>
      </c>
      <c r="C141" s="44"/>
      <c r="D141" s="16"/>
      <c r="E141" s="16"/>
      <c r="F141" s="16"/>
      <c r="G141" s="16"/>
      <c r="H141" s="45"/>
      <c r="I141" s="45"/>
      <c r="J141" s="11" t="str">
        <f aca="false">IF(I141="","",LEN(I141))</f>
        <v/>
      </c>
      <c r="K141" s="16"/>
      <c r="L141" s="16"/>
      <c r="M141" s="11" t="str">
        <f aca="false">IF(L141="","",IFERROR(INDEX('Hashtag Bank'!$E$5:$E$104,MATCH(L141,'Hashtag Bank'!$B$5:$B$104,0)),""))</f>
        <v/>
      </c>
      <c r="N141" s="16"/>
      <c r="O141" s="16"/>
      <c r="P141" s="16"/>
      <c r="Q141" s="46" t="str">
        <f aca="true">IF(A141&amp;H141="","",TRIM(IF(AND(A141&lt;&gt;"",A141&lt;TODAY(),O141&lt;&gt;"Published",O141&lt;&gt;"Repurpose"),"⚠ Overdue ","")&amp;IF(AND(J141&lt;&gt;"",D141&lt;&gt;"",IFERROR(J141&gt;INDEX(Setup!$E$9:$E$18,MATCH(D141,Setup!$B$9:$B$18,0)),FALSE())),"✂ Caption too long ","")&amp;IF(AND(M141&lt;&gt;"",D141&lt;&gt;"",IFERROR(M141&gt;INDEX(Setup!$F$9:$F$18,MATCH(D141,Setup!$B$9:$B$18,0)),FALSE())),"# Too many tags","")))</f>
        <v/>
      </c>
      <c r="R141" s="16"/>
      <c r="S141" s="19"/>
      <c r="T141" s="19"/>
      <c r="U141" s="19"/>
      <c r="V141" s="19"/>
      <c r="W141" s="19"/>
      <c r="X141" s="19"/>
      <c r="Y141" s="19"/>
      <c r="Z141" s="47" t="str">
        <f aca="false">IF(COUNT(U141:X141)=0,"",SUM(U141:X141))</f>
        <v/>
      </c>
      <c r="AA141" s="48" t="str">
        <f aca="false">IF(OR(Z141="",N(T141)=0),"",Z141/T141)</f>
        <v/>
      </c>
      <c r="AB141" s="45"/>
      <c r="AC141" s="51" t="str">
        <f aca="false">IF(A141="","",A141+N(C141)+ROW()/10^7)</f>
        <v/>
      </c>
      <c r="AD141" s="51" t="str">
        <f aca="false">IF(A141="","",TEXT(A141,"0")&amp;"|"&amp;COUNTIFS('Content Log'!$A$5:$A$504,A141,'Content Log'!$AC$5:$AC$504,"&lt;="&amp;AC141))</f>
        <v/>
      </c>
      <c r="AE141" s="51" t="str">
        <f aca="false">IF(A141="","",IFERROR(INDEX(Setup!$N$9:$N$14,MATCH(O141,Setup!$M$9:$M$14,0))&amp;" ","")&amp;IF(C141="","",TEXT(C141,"h:mm AM/PM")&amp;" ")&amp;D141&amp;IF(H141="",""," · "&amp;H141))</f>
        <v/>
      </c>
      <c r="AF141" s="51" t="str">
        <f aca="false">IF(OR(A141="",AA141=""),"",IF(AND(A141&gt;=Dashboard!$G$4,A141&lt;=Dashboard!$I$4),AA141+ROW()/10^9,""))</f>
        <v/>
      </c>
      <c r="AG141" s="51" t="str">
        <f aca="false">IF(A141="","",WEEKDAY(A141,2))</f>
        <v/>
      </c>
    </row>
    <row r="142" customFormat="false" ht="15" hidden="false" customHeight="false" outlineLevel="0" collapsed="false">
      <c r="A142" s="43"/>
      <c r="B142" s="11" t="str">
        <f aca="false">IF(A142="","",TEXT(A142,"ddd"))</f>
        <v/>
      </c>
      <c r="C142" s="44"/>
      <c r="D142" s="16"/>
      <c r="E142" s="16"/>
      <c r="F142" s="16"/>
      <c r="G142" s="16"/>
      <c r="H142" s="45"/>
      <c r="I142" s="45"/>
      <c r="J142" s="11" t="str">
        <f aca="false">IF(I142="","",LEN(I142))</f>
        <v/>
      </c>
      <c r="K142" s="16"/>
      <c r="L142" s="16"/>
      <c r="M142" s="11" t="str">
        <f aca="false">IF(L142="","",IFERROR(INDEX('Hashtag Bank'!$E$5:$E$104,MATCH(L142,'Hashtag Bank'!$B$5:$B$104,0)),""))</f>
        <v/>
      </c>
      <c r="N142" s="16"/>
      <c r="O142" s="16"/>
      <c r="P142" s="16"/>
      <c r="Q142" s="46" t="str">
        <f aca="true">IF(A142&amp;H142="","",TRIM(IF(AND(A142&lt;&gt;"",A142&lt;TODAY(),O142&lt;&gt;"Published",O142&lt;&gt;"Repurpose"),"⚠ Overdue ","")&amp;IF(AND(J142&lt;&gt;"",D142&lt;&gt;"",IFERROR(J142&gt;INDEX(Setup!$E$9:$E$18,MATCH(D142,Setup!$B$9:$B$18,0)),FALSE())),"✂ Caption too long ","")&amp;IF(AND(M142&lt;&gt;"",D142&lt;&gt;"",IFERROR(M142&gt;INDEX(Setup!$F$9:$F$18,MATCH(D142,Setup!$B$9:$B$18,0)),FALSE())),"# Too many tags","")))</f>
        <v/>
      </c>
      <c r="R142" s="16"/>
      <c r="S142" s="19"/>
      <c r="T142" s="19"/>
      <c r="U142" s="19"/>
      <c r="V142" s="19"/>
      <c r="W142" s="19"/>
      <c r="X142" s="19"/>
      <c r="Y142" s="19"/>
      <c r="Z142" s="47" t="str">
        <f aca="false">IF(COUNT(U142:X142)=0,"",SUM(U142:X142))</f>
        <v/>
      </c>
      <c r="AA142" s="48" t="str">
        <f aca="false">IF(OR(Z142="",N(T142)=0),"",Z142/T142)</f>
        <v/>
      </c>
      <c r="AB142" s="45"/>
      <c r="AC142" s="51" t="str">
        <f aca="false">IF(A142="","",A142+N(C142)+ROW()/10^7)</f>
        <v/>
      </c>
      <c r="AD142" s="51" t="str">
        <f aca="false">IF(A142="","",TEXT(A142,"0")&amp;"|"&amp;COUNTIFS('Content Log'!$A$5:$A$504,A142,'Content Log'!$AC$5:$AC$504,"&lt;="&amp;AC142))</f>
        <v/>
      </c>
      <c r="AE142" s="51" t="str">
        <f aca="false">IF(A142="","",IFERROR(INDEX(Setup!$N$9:$N$14,MATCH(O142,Setup!$M$9:$M$14,0))&amp;" ","")&amp;IF(C142="","",TEXT(C142,"h:mm AM/PM")&amp;" ")&amp;D142&amp;IF(H142="",""," · "&amp;H142))</f>
        <v/>
      </c>
      <c r="AF142" s="51" t="str">
        <f aca="false">IF(OR(A142="",AA142=""),"",IF(AND(A142&gt;=Dashboard!$G$4,A142&lt;=Dashboard!$I$4),AA142+ROW()/10^9,""))</f>
        <v/>
      </c>
      <c r="AG142" s="51" t="str">
        <f aca="false">IF(A142="","",WEEKDAY(A142,2))</f>
        <v/>
      </c>
    </row>
    <row r="143" customFormat="false" ht="15" hidden="false" customHeight="false" outlineLevel="0" collapsed="false">
      <c r="A143" s="43"/>
      <c r="B143" s="11" t="str">
        <f aca="false">IF(A143="","",TEXT(A143,"ddd"))</f>
        <v/>
      </c>
      <c r="C143" s="44"/>
      <c r="D143" s="16"/>
      <c r="E143" s="16"/>
      <c r="F143" s="16"/>
      <c r="G143" s="16"/>
      <c r="H143" s="45"/>
      <c r="I143" s="45"/>
      <c r="J143" s="11" t="str">
        <f aca="false">IF(I143="","",LEN(I143))</f>
        <v/>
      </c>
      <c r="K143" s="16"/>
      <c r="L143" s="16"/>
      <c r="M143" s="11" t="str">
        <f aca="false">IF(L143="","",IFERROR(INDEX('Hashtag Bank'!$E$5:$E$104,MATCH(L143,'Hashtag Bank'!$B$5:$B$104,0)),""))</f>
        <v/>
      </c>
      <c r="N143" s="16"/>
      <c r="O143" s="16"/>
      <c r="P143" s="16"/>
      <c r="Q143" s="46" t="str">
        <f aca="true">IF(A143&amp;H143="","",TRIM(IF(AND(A143&lt;&gt;"",A143&lt;TODAY(),O143&lt;&gt;"Published",O143&lt;&gt;"Repurpose"),"⚠ Overdue ","")&amp;IF(AND(J143&lt;&gt;"",D143&lt;&gt;"",IFERROR(J143&gt;INDEX(Setup!$E$9:$E$18,MATCH(D143,Setup!$B$9:$B$18,0)),FALSE())),"✂ Caption too long ","")&amp;IF(AND(M143&lt;&gt;"",D143&lt;&gt;"",IFERROR(M143&gt;INDEX(Setup!$F$9:$F$18,MATCH(D143,Setup!$B$9:$B$18,0)),FALSE())),"# Too many tags","")))</f>
        <v/>
      </c>
      <c r="R143" s="16"/>
      <c r="S143" s="19"/>
      <c r="T143" s="19"/>
      <c r="U143" s="19"/>
      <c r="V143" s="19"/>
      <c r="W143" s="19"/>
      <c r="X143" s="19"/>
      <c r="Y143" s="19"/>
      <c r="Z143" s="47" t="str">
        <f aca="false">IF(COUNT(U143:X143)=0,"",SUM(U143:X143))</f>
        <v/>
      </c>
      <c r="AA143" s="48" t="str">
        <f aca="false">IF(OR(Z143="",N(T143)=0),"",Z143/T143)</f>
        <v/>
      </c>
      <c r="AB143" s="45"/>
      <c r="AC143" s="51" t="str">
        <f aca="false">IF(A143="","",A143+N(C143)+ROW()/10^7)</f>
        <v/>
      </c>
      <c r="AD143" s="51" t="str">
        <f aca="false">IF(A143="","",TEXT(A143,"0")&amp;"|"&amp;COUNTIFS('Content Log'!$A$5:$A$504,A143,'Content Log'!$AC$5:$AC$504,"&lt;="&amp;AC143))</f>
        <v/>
      </c>
      <c r="AE143" s="51" t="str">
        <f aca="false">IF(A143="","",IFERROR(INDEX(Setup!$N$9:$N$14,MATCH(O143,Setup!$M$9:$M$14,0))&amp;" ","")&amp;IF(C143="","",TEXT(C143,"h:mm AM/PM")&amp;" ")&amp;D143&amp;IF(H143="",""," · "&amp;H143))</f>
        <v/>
      </c>
      <c r="AF143" s="51" t="str">
        <f aca="false">IF(OR(A143="",AA143=""),"",IF(AND(A143&gt;=Dashboard!$G$4,A143&lt;=Dashboard!$I$4),AA143+ROW()/10^9,""))</f>
        <v/>
      </c>
      <c r="AG143" s="51" t="str">
        <f aca="false">IF(A143="","",WEEKDAY(A143,2))</f>
        <v/>
      </c>
    </row>
    <row r="144" customFormat="false" ht="15" hidden="false" customHeight="false" outlineLevel="0" collapsed="false">
      <c r="A144" s="43"/>
      <c r="B144" s="11" t="str">
        <f aca="false">IF(A144="","",TEXT(A144,"ddd"))</f>
        <v/>
      </c>
      <c r="C144" s="44"/>
      <c r="D144" s="16"/>
      <c r="E144" s="16"/>
      <c r="F144" s="16"/>
      <c r="G144" s="16"/>
      <c r="H144" s="45"/>
      <c r="I144" s="45"/>
      <c r="J144" s="11" t="str">
        <f aca="false">IF(I144="","",LEN(I144))</f>
        <v/>
      </c>
      <c r="K144" s="16"/>
      <c r="L144" s="16"/>
      <c r="M144" s="11" t="str">
        <f aca="false">IF(L144="","",IFERROR(INDEX('Hashtag Bank'!$E$5:$E$104,MATCH(L144,'Hashtag Bank'!$B$5:$B$104,0)),""))</f>
        <v/>
      </c>
      <c r="N144" s="16"/>
      <c r="O144" s="16"/>
      <c r="P144" s="16"/>
      <c r="Q144" s="46" t="str">
        <f aca="true">IF(A144&amp;H144="","",TRIM(IF(AND(A144&lt;&gt;"",A144&lt;TODAY(),O144&lt;&gt;"Published",O144&lt;&gt;"Repurpose"),"⚠ Overdue ","")&amp;IF(AND(J144&lt;&gt;"",D144&lt;&gt;"",IFERROR(J144&gt;INDEX(Setup!$E$9:$E$18,MATCH(D144,Setup!$B$9:$B$18,0)),FALSE())),"✂ Caption too long ","")&amp;IF(AND(M144&lt;&gt;"",D144&lt;&gt;"",IFERROR(M144&gt;INDEX(Setup!$F$9:$F$18,MATCH(D144,Setup!$B$9:$B$18,0)),FALSE())),"# Too many tags","")))</f>
        <v/>
      </c>
      <c r="R144" s="16"/>
      <c r="S144" s="19"/>
      <c r="T144" s="19"/>
      <c r="U144" s="19"/>
      <c r="V144" s="19"/>
      <c r="W144" s="19"/>
      <c r="X144" s="19"/>
      <c r="Y144" s="19"/>
      <c r="Z144" s="47" t="str">
        <f aca="false">IF(COUNT(U144:X144)=0,"",SUM(U144:X144))</f>
        <v/>
      </c>
      <c r="AA144" s="48" t="str">
        <f aca="false">IF(OR(Z144="",N(T144)=0),"",Z144/T144)</f>
        <v/>
      </c>
      <c r="AB144" s="45"/>
      <c r="AC144" s="51" t="str">
        <f aca="false">IF(A144="","",A144+N(C144)+ROW()/10^7)</f>
        <v/>
      </c>
      <c r="AD144" s="51" t="str">
        <f aca="false">IF(A144="","",TEXT(A144,"0")&amp;"|"&amp;COUNTIFS('Content Log'!$A$5:$A$504,A144,'Content Log'!$AC$5:$AC$504,"&lt;="&amp;AC144))</f>
        <v/>
      </c>
      <c r="AE144" s="51" t="str">
        <f aca="false">IF(A144="","",IFERROR(INDEX(Setup!$N$9:$N$14,MATCH(O144,Setup!$M$9:$M$14,0))&amp;" ","")&amp;IF(C144="","",TEXT(C144,"h:mm AM/PM")&amp;" ")&amp;D144&amp;IF(H144="",""," · "&amp;H144))</f>
        <v/>
      </c>
      <c r="AF144" s="51" t="str">
        <f aca="false">IF(OR(A144="",AA144=""),"",IF(AND(A144&gt;=Dashboard!$G$4,A144&lt;=Dashboard!$I$4),AA144+ROW()/10^9,""))</f>
        <v/>
      </c>
      <c r="AG144" s="51" t="str">
        <f aca="false">IF(A144="","",WEEKDAY(A144,2))</f>
        <v/>
      </c>
    </row>
    <row r="145" customFormat="false" ht="15" hidden="false" customHeight="false" outlineLevel="0" collapsed="false">
      <c r="A145" s="43"/>
      <c r="B145" s="11" t="str">
        <f aca="false">IF(A145="","",TEXT(A145,"ddd"))</f>
        <v/>
      </c>
      <c r="C145" s="44"/>
      <c r="D145" s="16"/>
      <c r="E145" s="16"/>
      <c r="F145" s="16"/>
      <c r="G145" s="16"/>
      <c r="H145" s="45"/>
      <c r="I145" s="45"/>
      <c r="J145" s="11" t="str">
        <f aca="false">IF(I145="","",LEN(I145))</f>
        <v/>
      </c>
      <c r="K145" s="16"/>
      <c r="L145" s="16"/>
      <c r="M145" s="11" t="str">
        <f aca="false">IF(L145="","",IFERROR(INDEX('Hashtag Bank'!$E$5:$E$104,MATCH(L145,'Hashtag Bank'!$B$5:$B$104,0)),""))</f>
        <v/>
      </c>
      <c r="N145" s="16"/>
      <c r="O145" s="16"/>
      <c r="P145" s="16"/>
      <c r="Q145" s="46" t="str">
        <f aca="true">IF(A145&amp;H145="","",TRIM(IF(AND(A145&lt;&gt;"",A145&lt;TODAY(),O145&lt;&gt;"Published",O145&lt;&gt;"Repurpose"),"⚠ Overdue ","")&amp;IF(AND(J145&lt;&gt;"",D145&lt;&gt;"",IFERROR(J145&gt;INDEX(Setup!$E$9:$E$18,MATCH(D145,Setup!$B$9:$B$18,0)),FALSE())),"✂ Caption too long ","")&amp;IF(AND(M145&lt;&gt;"",D145&lt;&gt;"",IFERROR(M145&gt;INDEX(Setup!$F$9:$F$18,MATCH(D145,Setup!$B$9:$B$18,0)),FALSE())),"# Too many tags","")))</f>
        <v/>
      </c>
      <c r="R145" s="16"/>
      <c r="S145" s="19"/>
      <c r="T145" s="19"/>
      <c r="U145" s="19"/>
      <c r="V145" s="19"/>
      <c r="W145" s="19"/>
      <c r="X145" s="19"/>
      <c r="Y145" s="19"/>
      <c r="Z145" s="47" t="str">
        <f aca="false">IF(COUNT(U145:X145)=0,"",SUM(U145:X145))</f>
        <v/>
      </c>
      <c r="AA145" s="48" t="str">
        <f aca="false">IF(OR(Z145="",N(T145)=0),"",Z145/T145)</f>
        <v/>
      </c>
      <c r="AB145" s="45"/>
      <c r="AC145" s="51" t="str">
        <f aca="false">IF(A145="","",A145+N(C145)+ROW()/10^7)</f>
        <v/>
      </c>
      <c r="AD145" s="51" t="str">
        <f aca="false">IF(A145="","",TEXT(A145,"0")&amp;"|"&amp;COUNTIFS('Content Log'!$A$5:$A$504,A145,'Content Log'!$AC$5:$AC$504,"&lt;="&amp;AC145))</f>
        <v/>
      </c>
      <c r="AE145" s="51" t="str">
        <f aca="false">IF(A145="","",IFERROR(INDEX(Setup!$N$9:$N$14,MATCH(O145,Setup!$M$9:$M$14,0))&amp;" ","")&amp;IF(C145="","",TEXT(C145,"h:mm AM/PM")&amp;" ")&amp;D145&amp;IF(H145="",""," · "&amp;H145))</f>
        <v/>
      </c>
      <c r="AF145" s="51" t="str">
        <f aca="false">IF(OR(A145="",AA145=""),"",IF(AND(A145&gt;=Dashboard!$G$4,A145&lt;=Dashboard!$I$4),AA145+ROW()/10^9,""))</f>
        <v/>
      </c>
      <c r="AG145" s="51" t="str">
        <f aca="false">IF(A145="","",WEEKDAY(A145,2))</f>
        <v/>
      </c>
    </row>
    <row r="146" customFormat="false" ht="15" hidden="false" customHeight="false" outlineLevel="0" collapsed="false">
      <c r="A146" s="43"/>
      <c r="B146" s="11" t="str">
        <f aca="false">IF(A146="","",TEXT(A146,"ddd"))</f>
        <v/>
      </c>
      <c r="C146" s="44"/>
      <c r="D146" s="16"/>
      <c r="E146" s="16"/>
      <c r="F146" s="16"/>
      <c r="G146" s="16"/>
      <c r="H146" s="45"/>
      <c r="I146" s="45"/>
      <c r="J146" s="11" t="str">
        <f aca="false">IF(I146="","",LEN(I146))</f>
        <v/>
      </c>
      <c r="K146" s="16"/>
      <c r="L146" s="16"/>
      <c r="M146" s="11" t="str">
        <f aca="false">IF(L146="","",IFERROR(INDEX('Hashtag Bank'!$E$5:$E$104,MATCH(L146,'Hashtag Bank'!$B$5:$B$104,0)),""))</f>
        <v/>
      </c>
      <c r="N146" s="16"/>
      <c r="O146" s="16"/>
      <c r="P146" s="16"/>
      <c r="Q146" s="46" t="str">
        <f aca="true">IF(A146&amp;H146="","",TRIM(IF(AND(A146&lt;&gt;"",A146&lt;TODAY(),O146&lt;&gt;"Published",O146&lt;&gt;"Repurpose"),"⚠ Overdue ","")&amp;IF(AND(J146&lt;&gt;"",D146&lt;&gt;"",IFERROR(J146&gt;INDEX(Setup!$E$9:$E$18,MATCH(D146,Setup!$B$9:$B$18,0)),FALSE())),"✂ Caption too long ","")&amp;IF(AND(M146&lt;&gt;"",D146&lt;&gt;"",IFERROR(M146&gt;INDEX(Setup!$F$9:$F$18,MATCH(D146,Setup!$B$9:$B$18,0)),FALSE())),"# Too many tags","")))</f>
        <v/>
      </c>
      <c r="R146" s="16"/>
      <c r="S146" s="19"/>
      <c r="T146" s="19"/>
      <c r="U146" s="19"/>
      <c r="V146" s="19"/>
      <c r="W146" s="19"/>
      <c r="X146" s="19"/>
      <c r="Y146" s="19"/>
      <c r="Z146" s="47" t="str">
        <f aca="false">IF(COUNT(U146:X146)=0,"",SUM(U146:X146))</f>
        <v/>
      </c>
      <c r="AA146" s="48" t="str">
        <f aca="false">IF(OR(Z146="",N(T146)=0),"",Z146/T146)</f>
        <v/>
      </c>
      <c r="AB146" s="45"/>
      <c r="AC146" s="51" t="str">
        <f aca="false">IF(A146="","",A146+N(C146)+ROW()/10^7)</f>
        <v/>
      </c>
      <c r="AD146" s="51" t="str">
        <f aca="false">IF(A146="","",TEXT(A146,"0")&amp;"|"&amp;COUNTIFS('Content Log'!$A$5:$A$504,A146,'Content Log'!$AC$5:$AC$504,"&lt;="&amp;AC146))</f>
        <v/>
      </c>
      <c r="AE146" s="51" t="str">
        <f aca="false">IF(A146="","",IFERROR(INDEX(Setup!$N$9:$N$14,MATCH(O146,Setup!$M$9:$M$14,0))&amp;" ","")&amp;IF(C146="","",TEXT(C146,"h:mm AM/PM")&amp;" ")&amp;D146&amp;IF(H146="",""," · "&amp;H146))</f>
        <v/>
      </c>
      <c r="AF146" s="51" t="str">
        <f aca="false">IF(OR(A146="",AA146=""),"",IF(AND(A146&gt;=Dashboard!$G$4,A146&lt;=Dashboard!$I$4),AA146+ROW()/10^9,""))</f>
        <v/>
      </c>
      <c r="AG146" s="51" t="str">
        <f aca="false">IF(A146="","",WEEKDAY(A146,2))</f>
        <v/>
      </c>
    </row>
    <row r="147" customFormat="false" ht="15" hidden="false" customHeight="false" outlineLevel="0" collapsed="false">
      <c r="A147" s="43"/>
      <c r="B147" s="11" t="str">
        <f aca="false">IF(A147="","",TEXT(A147,"ddd"))</f>
        <v/>
      </c>
      <c r="C147" s="44"/>
      <c r="D147" s="16"/>
      <c r="E147" s="16"/>
      <c r="F147" s="16"/>
      <c r="G147" s="16"/>
      <c r="H147" s="45"/>
      <c r="I147" s="45"/>
      <c r="J147" s="11" t="str">
        <f aca="false">IF(I147="","",LEN(I147))</f>
        <v/>
      </c>
      <c r="K147" s="16"/>
      <c r="L147" s="16"/>
      <c r="M147" s="11" t="str">
        <f aca="false">IF(L147="","",IFERROR(INDEX('Hashtag Bank'!$E$5:$E$104,MATCH(L147,'Hashtag Bank'!$B$5:$B$104,0)),""))</f>
        <v/>
      </c>
      <c r="N147" s="16"/>
      <c r="O147" s="16"/>
      <c r="P147" s="16"/>
      <c r="Q147" s="46" t="str">
        <f aca="true">IF(A147&amp;H147="","",TRIM(IF(AND(A147&lt;&gt;"",A147&lt;TODAY(),O147&lt;&gt;"Published",O147&lt;&gt;"Repurpose"),"⚠ Overdue ","")&amp;IF(AND(J147&lt;&gt;"",D147&lt;&gt;"",IFERROR(J147&gt;INDEX(Setup!$E$9:$E$18,MATCH(D147,Setup!$B$9:$B$18,0)),FALSE())),"✂ Caption too long ","")&amp;IF(AND(M147&lt;&gt;"",D147&lt;&gt;"",IFERROR(M147&gt;INDEX(Setup!$F$9:$F$18,MATCH(D147,Setup!$B$9:$B$18,0)),FALSE())),"# Too many tags","")))</f>
        <v/>
      </c>
      <c r="R147" s="16"/>
      <c r="S147" s="19"/>
      <c r="T147" s="19"/>
      <c r="U147" s="19"/>
      <c r="V147" s="19"/>
      <c r="W147" s="19"/>
      <c r="X147" s="19"/>
      <c r="Y147" s="19"/>
      <c r="Z147" s="47" t="str">
        <f aca="false">IF(COUNT(U147:X147)=0,"",SUM(U147:X147))</f>
        <v/>
      </c>
      <c r="AA147" s="48" t="str">
        <f aca="false">IF(OR(Z147="",N(T147)=0),"",Z147/T147)</f>
        <v/>
      </c>
      <c r="AB147" s="45"/>
      <c r="AC147" s="51" t="str">
        <f aca="false">IF(A147="","",A147+N(C147)+ROW()/10^7)</f>
        <v/>
      </c>
      <c r="AD147" s="51" t="str">
        <f aca="false">IF(A147="","",TEXT(A147,"0")&amp;"|"&amp;COUNTIFS('Content Log'!$A$5:$A$504,A147,'Content Log'!$AC$5:$AC$504,"&lt;="&amp;AC147))</f>
        <v/>
      </c>
      <c r="AE147" s="51" t="str">
        <f aca="false">IF(A147="","",IFERROR(INDEX(Setup!$N$9:$N$14,MATCH(O147,Setup!$M$9:$M$14,0))&amp;" ","")&amp;IF(C147="","",TEXT(C147,"h:mm AM/PM")&amp;" ")&amp;D147&amp;IF(H147="",""," · "&amp;H147))</f>
        <v/>
      </c>
      <c r="AF147" s="51" t="str">
        <f aca="false">IF(OR(A147="",AA147=""),"",IF(AND(A147&gt;=Dashboard!$G$4,A147&lt;=Dashboard!$I$4),AA147+ROW()/10^9,""))</f>
        <v/>
      </c>
      <c r="AG147" s="51" t="str">
        <f aca="false">IF(A147="","",WEEKDAY(A147,2))</f>
        <v/>
      </c>
    </row>
    <row r="148" customFormat="false" ht="15" hidden="false" customHeight="false" outlineLevel="0" collapsed="false">
      <c r="A148" s="43"/>
      <c r="B148" s="11" t="str">
        <f aca="false">IF(A148="","",TEXT(A148,"ddd"))</f>
        <v/>
      </c>
      <c r="C148" s="44"/>
      <c r="D148" s="16"/>
      <c r="E148" s="16"/>
      <c r="F148" s="16"/>
      <c r="G148" s="16"/>
      <c r="H148" s="45"/>
      <c r="I148" s="45"/>
      <c r="J148" s="11" t="str">
        <f aca="false">IF(I148="","",LEN(I148))</f>
        <v/>
      </c>
      <c r="K148" s="16"/>
      <c r="L148" s="16"/>
      <c r="M148" s="11" t="str">
        <f aca="false">IF(L148="","",IFERROR(INDEX('Hashtag Bank'!$E$5:$E$104,MATCH(L148,'Hashtag Bank'!$B$5:$B$104,0)),""))</f>
        <v/>
      </c>
      <c r="N148" s="16"/>
      <c r="O148" s="16"/>
      <c r="P148" s="16"/>
      <c r="Q148" s="46" t="str">
        <f aca="true">IF(A148&amp;H148="","",TRIM(IF(AND(A148&lt;&gt;"",A148&lt;TODAY(),O148&lt;&gt;"Published",O148&lt;&gt;"Repurpose"),"⚠ Overdue ","")&amp;IF(AND(J148&lt;&gt;"",D148&lt;&gt;"",IFERROR(J148&gt;INDEX(Setup!$E$9:$E$18,MATCH(D148,Setup!$B$9:$B$18,0)),FALSE())),"✂ Caption too long ","")&amp;IF(AND(M148&lt;&gt;"",D148&lt;&gt;"",IFERROR(M148&gt;INDEX(Setup!$F$9:$F$18,MATCH(D148,Setup!$B$9:$B$18,0)),FALSE())),"# Too many tags","")))</f>
        <v/>
      </c>
      <c r="R148" s="16"/>
      <c r="S148" s="19"/>
      <c r="T148" s="19"/>
      <c r="U148" s="19"/>
      <c r="V148" s="19"/>
      <c r="W148" s="19"/>
      <c r="X148" s="19"/>
      <c r="Y148" s="19"/>
      <c r="Z148" s="47" t="str">
        <f aca="false">IF(COUNT(U148:X148)=0,"",SUM(U148:X148))</f>
        <v/>
      </c>
      <c r="AA148" s="48" t="str">
        <f aca="false">IF(OR(Z148="",N(T148)=0),"",Z148/T148)</f>
        <v/>
      </c>
      <c r="AB148" s="45"/>
      <c r="AC148" s="51" t="str">
        <f aca="false">IF(A148="","",A148+N(C148)+ROW()/10^7)</f>
        <v/>
      </c>
      <c r="AD148" s="51" t="str">
        <f aca="false">IF(A148="","",TEXT(A148,"0")&amp;"|"&amp;COUNTIFS('Content Log'!$A$5:$A$504,A148,'Content Log'!$AC$5:$AC$504,"&lt;="&amp;AC148))</f>
        <v/>
      </c>
      <c r="AE148" s="51" t="str">
        <f aca="false">IF(A148="","",IFERROR(INDEX(Setup!$N$9:$N$14,MATCH(O148,Setup!$M$9:$M$14,0))&amp;" ","")&amp;IF(C148="","",TEXT(C148,"h:mm AM/PM")&amp;" ")&amp;D148&amp;IF(H148="",""," · "&amp;H148))</f>
        <v/>
      </c>
      <c r="AF148" s="51" t="str">
        <f aca="false">IF(OR(A148="",AA148=""),"",IF(AND(A148&gt;=Dashboard!$G$4,A148&lt;=Dashboard!$I$4),AA148+ROW()/10^9,""))</f>
        <v/>
      </c>
      <c r="AG148" s="51" t="str">
        <f aca="false">IF(A148="","",WEEKDAY(A148,2))</f>
        <v/>
      </c>
    </row>
    <row r="149" customFormat="false" ht="15" hidden="false" customHeight="false" outlineLevel="0" collapsed="false">
      <c r="A149" s="43"/>
      <c r="B149" s="11" t="str">
        <f aca="false">IF(A149="","",TEXT(A149,"ddd"))</f>
        <v/>
      </c>
      <c r="C149" s="44"/>
      <c r="D149" s="16"/>
      <c r="E149" s="16"/>
      <c r="F149" s="16"/>
      <c r="G149" s="16"/>
      <c r="H149" s="45"/>
      <c r="I149" s="45"/>
      <c r="J149" s="11" t="str">
        <f aca="false">IF(I149="","",LEN(I149))</f>
        <v/>
      </c>
      <c r="K149" s="16"/>
      <c r="L149" s="16"/>
      <c r="M149" s="11" t="str">
        <f aca="false">IF(L149="","",IFERROR(INDEX('Hashtag Bank'!$E$5:$E$104,MATCH(L149,'Hashtag Bank'!$B$5:$B$104,0)),""))</f>
        <v/>
      </c>
      <c r="N149" s="16"/>
      <c r="O149" s="16"/>
      <c r="P149" s="16"/>
      <c r="Q149" s="46" t="str">
        <f aca="true">IF(A149&amp;H149="","",TRIM(IF(AND(A149&lt;&gt;"",A149&lt;TODAY(),O149&lt;&gt;"Published",O149&lt;&gt;"Repurpose"),"⚠ Overdue ","")&amp;IF(AND(J149&lt;&gt;"",D149&lt;&gt;"",IFERROR(J149&gt;INDEX(Setup!$E$9:$E$18,MATCH(D149,Setup!$B$9:$B$18,0)),FALSE())),"✂ Caption too long ","")&amp;IF(AND(M149&lt;&gt;"",D149&lt;&gt;"",IFERROR(M149&gt;INDEX(Setup!$F$9:$F$18,MATCH(D149,Setup!$B$9:$B$18,0)),FALSE())),"# Too many tags","")))</f>
        <v/>
      </c>
      <c r="R149" s="16"/>
      <c r="S149" s="19"/>
      <c r="T149" s="19"/>
      <c r="U149" s="19"/>
      <c r="V149" s="19"/>
      <c r="W149" s="19"/>
      <c r="X149" s="19"/>
      <c r="Y149" s="19"/>
      <c r="Z149" s="47" t="str">
        <f aca="false">IF(COUNT(U149:X149)=0,"",SUM(U149:X149))</f>
        <v/>
      </c>
      <c r="AA149" s="48" t="str">
        <f aca="false">IF(OR(Z149="",N(T149)=0),"",Z149/T149)</f>
        <v/>
      </c>
      <c r="AB149" s="45"/>
      <c r="AC149" s="51" t="str">
        <f aca="false">IF(A149="","",A149+N(C149)+ROW()/10^7)</f>
        <v/>
      </c>
      <c r="AD149" s="51" t="str">
        <f aca="false">IF(A149="","",TEXT(A149,"0")&amp;"|"&amp;COUNTIFS('Content Log'!$A$5:$A$504,A149,'Content Log'!$AC$5:$AC$504,"&lt;="&amp;AC149))</f>
        <v/>
      </c>
      <c r="AE149" s="51" t="str">
        <f aca="false">IF(A149="","",IFERROR(INDEX(Setup!$N$9:$N$14,MATCH(O149,Setup!$M$9:$M$14,0))&amp;" ","")&amp;IF(C149="","",TEXT(C149,"h:mm AM/PM")&amp;" ")&amp;D149&amp;IF(H149="",""," · "&amp;H149))</f>
        <v/>
      </c>
      <c r="AF149" s="51" t="str">
        <f aca="false">IF(OR(A149="",AA149=""),"",IF(AND(A149&gt;=Dashboard!$G$4,A149&lt;=Dashboard!$I$4),AA149+ROW()/10^9,""))</f>
        <v/>
      </c>
      <c r="AG149" s="51" t="str">
        <f aca="false">IF(A149="","",WEEKDAY(A149,2))</f>
        <v/>
      </c>
    </row>
    <row r="150" customFormat="false" ht="15" hidden="false" customHeight="false" outlineLevel="0" collapsed="false">
      <c r="A150" s="43"/>
      <c r="B150" s="11" t="str">
        <f aca="false">IF(A150="","",TEXT(A150,"ddd"))</f>
        <v/>
      </c>
      <c r="C150" s="44"/>
      <c r="D150" s="16"/>
      <c r="E150" s="16"/>
      <c r="F150" s="16"/>
      <c r="G150" s="16"/>
      <c r="H150" s="45"/>
      <c r="I150" s="45"/>
      <c r="J150" s="11" t="str">
        <f aca="false">IF(I150="","",LEN(I150))</f>
        <v/>
      </c>
      <c r="K150" s="16"/>
      <c r="L150" s="16"/>
      <c r="M150" s="11" t="str">
        <f aca="false">IF(L150="","",IFERROR(INDEX('Hashtag Bank'!$E$5:$E$104,MATCH(L150,'Hashtag Bank'!$B$5:$B$104,0)),""))</f>
        <v/>
      </c>
      <c r="N150" s="16"/>
      <c r="O150" s="16"/>
      <c r="P150" s="16"/>
      <c r="Q150" s="46" t="str">
        <f aca="true">IF(A150&amp;H150="","",TRIM(IF(AND(A150&lt;&gt;"",A150&lt;TODAY(),O150&lt;&gt;"Published",O150&lt;&gt;"Repurpose"),"⚠ Overdue ","")&amp;IF(AND(J150&lt;&gt;"",D150&lt;&gt;"",IFERROR(J150&gt;INDEX(Setup!$E$9:$E$18,MATCH(D150,Setup!$B$9:$B$18,0)),FALSE())),"✂ Caption too long ","")&amp;IF(AND(M150&lt;&gt;"",D150&lt;&gt;"",IFERROR(M150&gt;INDEX(Setup!$F$9:$F$18,MATCH(D150,Setup!$B$9:$B$18,0)),FALSE())),"# Too many tags","")))</f>
        <v/>
      </c>
      <c r="R150" s="16"/>
      <c r="S150" s="19"/>
      <c r="T150" s="19"/>
      <c r="U150" s="19"/>
      <c r="V150" s="19"/>
      <c r="W150" s="19"/>
      <c r="X150" s="19"/>
      <c r="Y150" s="19"/>
      <c r="Z150" s="47" t="str">
        <f aca="false">IF(COUNT(U150:X150)=0,"",SUM(U150:X150))</f>
        <v/>
      </c>
      <c r="AA150" s="48" t="str">
        <f aca="false">IF(OR(Z150="",N(T150)=0),"",Z150/T150)</f>
        <v/>
      </c>
      <c r="AB150" s="45"/>
      <c r="AC150" s="51" t="str">
        <f aca="false">IF(A150="","",A150+N(C150)+ROW()/10^7)</f>
        <v/>
      </c>
      <c r="AD150" s="51" t="str">
        <f aca="false">IF(A150="","",TEXT(A150,"0")&amp;"|"&amp;COUNTIFS('Content Log'!$A$5:$A$504,A150,'Content Log'!$AC$5:$AC$504,"&lt;="&amp;AC150))</f>
        <v/>
      </c>
      <c r="AE150" s="51" t="str">
        <f aca="false">IF(A150="","",IFERROR(INDEX(Setup!$N$9:$N$14,MATCH(O150,Setup!$M$9:$M$14,0))&amp;" ","")&amp;IF(C150="","",TEXT(C150,"h:mm AM/PM")&amp;" ")&amp;D150&amp;IF(H150="",""," · "&amp;H150))</f>
        <v/>
      </c>
      <c r="AF150" s="51" t="str">
        <f aca="false">IF(OR(A150="",AA150=""),"",IF(AND(A150&gt;=Dashboard!$G$4,A150&lt;=Dashboard!$I$4),AA150+ROW()/10^9,""))</f>
        <v/>
      </c>
      <c r="AG150" s="51" t="str">
        <f aca="false">IF(A150="","",WEEKDAY(A150,2))</f>
        <v/>
      </c>
    </row>
    <row r="151" customFormat="false" ht="15" hidden="false" customHeight="false" outlineLevel="0" collapsed="false">
      <c r="A151" s="43"/>
      <c r="B151" s="11" t="str">
        <f aca="false">IF(A151="","",TEXT(A151,"ddd"))</f>
        <v/>
      </c>
      <c r="C151" s="44"/>
      <c r="D151" s="16"/>
      <c r="E151" s="16"/>
      <c r="F151" s="16"/>
      <c r="G151" s="16"/>
      <c r="H151" s="45"/>
      <c r="I151" s="45"/>
      <c r="J151" s="11" t="str">
        <f aca="false">IF(I151="","",LEN(I151))</f>
        <v/>
      </c>
      <c r="K151" s="16"/>
      <c r="L151" s="16"/>
      <c r="M151" s="11" t="str">
        <f aca="false">IF(L151="","",IFERROR(INDEX('Hashtag Bank'!$E$5:$E$104,MATCH(L151,'Hashtag Bank'!$B$5:$B$104,0)),""))</f>
        <v/>
      </c>
      <c r="N151" s="16"/>
      <c r="O151" s="16"/>
      <c r="P151" s="16"/>
      <c r="Q151" s="46" t="str">
        <f aca="true">IF(A151&amp;H151="","",TRIM(IF(AND(A151&lt;&gt;"",A151&lt;TODAY(),O151&lt;&gt;"Published",O151&lt;&gt;"Repurpose"),"⚠ Overdue ","")&amp;IF(AND(J151&lt;&gt;"",D151&lt;&gt;"",IFERROR(J151&gt;INDEX(Setup!$E$9:$E$18,MATCH(D151,Setup!$B$9:$B$18,0)),FALSE())),"✂ Caption too long ","")&amp;IF(AND(M151&lt;&gt;"",D151&lt;&gt;"",IFERROR(M151&gt;INDEX(Setup!$F$9:$F$18,MATCH(D151,Setup!$B$9:$B$18,0)),FALSE())),"# Too many tags","")))</f>
        <v/>
      </c>
      <c r="R151" s="16"/>
      <c r="S151" s="19"/>
      <c r="T151" s="19"/>
      <c r="U151" s="19"/>
      <c r="V151" s="19"/>
      <c r="W151" s="19"/>
      <c r="X151" s="19"/>
      <c r="Y151" s="19"/>
      <c r="Z151" s="47" t="str">
        <f aca="false">IF(COUNT(U151:X151)=0,"",SUM(U151:X151))</f>
        <v/>
      </c>
      <c r="AA151" s="48" t="str">
        <f aca="false">IF(OR(Z151="",N(T151)=0),"",Z151/T151)</f>
        <v/>
      </c>
      <c r="AB151" s="45"/>
      <c r="AC151" s="51" t="str">
        <f aca="false">IF(A151="","",A151+N(C151)+ROW()/10^7)</f>
        <v/>
      </c>
      <c r="AD151" s="51" t="str">
        <f aca="false">IF(A151="","",TEXT(A151,"0")&amp;"|"&amp;COUNTIFS('Content Log'!$A$5:$A$504,A151,'Content Log'!$AC$5:$AC$504,"&lt;="&amp;AC151))</f>
        <v/>
      </c>
      <c r="AE151" s="51" t="str">
        <f aca="false">IF(A151="","",IFERROR(INDEX(Setup!$N$9:$N$14,MATCH(O151,Setup!$M$9:$M$14,0))&amp;" ","")&amp;IF(C151="","",TEXT(C151,"h:mm AM/PM")&amp;" ")&amp;D151&amp;IF(H151="",""," · "&amp;H151))</f>
        <v/>
      </c>
      <c r="AF151" s="51" t="str">
        <f aca="false">IF(OR(A151="",AA151=""),"",IF(AND(A151&gt;=Dashboard!$G$4,A151&lt;=Dashboard!$I$4),AA151+ROW()/10^9,""))</f>
        <v/>
      </c>
      <c r="AG151" s="51" t="str">
        <f aca="false">IF(A151="","",WEEKDAY(A151,2))</f>
        <v/>
      </c>
    </row>
    <row r="152" customFormat="false" ht="15" hidden="false" customHeight="false" outlineLevel="0" collapsed="false">
      <c r="A152" s="43"/>
      <c r="B152" s="11" t="str">
        <f aca="false">IF(A152="","",TEXT(A152,"ddd"))</f>
        <v/>
      </c>
      <c r="C152" s="44"/>
      <c r="D152" s="16"/>
      <c r="E152" s="16"/>
      <c r="F152" s="16"/>
      <c r="G152" s="16"/>
      <c r="H152" s="45"/>
      <c r="I152" s="45"/>
      <c r="J152" s="11" t="str">
        <f aca="false">IF(I152="","",LEN(I152))</f>
        <v/>
      </c>
      <c r="K152" s="16"/>
      <c r="L152" s="16"/>
      <c r="M152" s="11" t="str">
        <f aca="false">IF(L152="","",IFERROR(INDEX('Hashtag Bank'!$E$5:$E$104,MATCH(L152,'Hashtag Bank'!$B$5:$B$104,0)),""))</f>
        <v/>
      </c>
      <c r="N152" s="16"/>
      <c r="O152" s="16"/>
      <c r="P152" s="16"/>
      <c r="Q152" s="46" t="str">
        <f aca="true">IF(A152&amp;H152="","",TRIM(IF(AND(A152&lt;&gt;"",A152&lt;TODAY(),O152&lt;&gt;"Published",O152&lt;&gt;"Repurpose"),"⚠ Overdue ","")&amp;IF(AND(J152&lt;&gt;"",D152&lt;&gt;"",IFERROR(J152&gt;INDEX(Setup!$E$9:$E$18,MATCH(D152,Setup!$B$9:$B$18,0)),FALSE())),"✂ Caption too long ","")&amp;IF(AND(M152&lt;&gt;"",D152&lt;&gt;"",IFERROR(M152&gt;INDEX(Setup!$F$9:$F$18,MATCH(D152,Setup!$B$9:$B$18,0)),FALSE())),"# Too many tags","")))</f>
        <v/>
      </c>
      <c r="R152" s="16"/>
      <c r="S152" s="19"/>
      <c r="T152" s="19"/>
      <c r="U152" s="19"/>
      <c r="V152" s="19"/>
      <c r="W152" s="19"/>
      <c r="X152" s="19"/>
      <c r="Y152" s="19"/>
      <c r="Z152" s="47" t="str">
        <f aca="false">IF(COUNT(U152:X152)=0,"",SUM(U152:X152))</f>
        <v/>
      </c>
      <c r="AA152" s="48" t="str">
        <f aca="false">IF(OR(Z152="",N(T152)=0),"",Z152/T152)</f>
        <v/>
      </c>
      <c r="AB152" s="45"/>
      <c r="AC152" s="51" t="str">
        <f aca="false">IF(A152="","",A152+N(C152)+ROW()/10^7)</f>
        <v/>
      </c>
      <c r="AD152" s="51" t="str">
        <f aca="false">IF(A152="","",TEXT(A152,"0")&amp;"|"&amp;COUNTIFS('Content Log'!$A$5:$A$504,A152,'Content Log'!$AC$5:$AC$504,"&lt;="&amp;AC152))</f>
        <v/>
      </c>
      <c r="AE152" s="51" t="str">
        <f aca="false">IF(A152="","",IFERROR(INDEX(Setup!$N$9:$N$14,MATCH(O152,Setup!$M$9:$M$14,0))&amp;" ","")&amp;IF(C152="","",TEXT(C152,"h:mm AM/PM")&amp;" ")&amp;D152&amp;IF(H152="",""," · "&amp;H152))</f>
        <v/>
      </c>
      <c r="AF152" s="51" t="str">
        <f aca="false">IF(OR(A152="",AA152=""),"",IF(AND(A152&gt;=Dashboard!$G$4,A152&lt;=Dashboard!$I$4),AA152+ROW()/10^9,""))</f>
        <v/>
      </c>
      <c r="AG152" s="51" t="str">
        <f aca="false">IF(A152="","",WEEKDAY(A152,2))</f>
        <v/>
      </c>
    </row>
    <row r="153" customFormat="false" ht="15" hidden="false" customHeight="false" outlineLevel="0" collapsed="false">
      <c r="A153" s="43"/>
      <c r="B153" s="11" t="str">
        <f aca="false">IF(A153="","",TEXT(A153,"ddd"))</f>
        <v/>
      </c>
      <c r="C153" s="44"/>
      <c r="D153" s="16"/>
      <c r="E153" s="16"/>
      <c r="F153" s="16"/>
      <c r="G153" s="16"/>
      <c r="H153" s="45"/>
      <c r="I153" s="45"/>
      <c r="J153" s="11" t="str">
        <f aca="false">IF(I153="","",LEN(I153))</f>
        <v/>
      </c>
      <c r="K153" s="16"/>
      <c r="L153" s="16"/>
      <c r="M153" s="11" t="str">
        <f aca="false">IF(L153="","",IFERROR(INDEX('Hashtag Bank'!$E$5:$E$104,MATCH(L153,'Hashtag Bank'!$B$5:$B$104,0)),""))</f>
        <v/>
      </c>
      <c r="N153" s="16"/>
      <c r="O153" s="16"/>
      <c r="P153" s="16"/>
      <c r="Q153" s="46" t="str">
        <f aca="true">IF(A153&amp;H153="","",TRIM(IF(AND(A153&lt;&gt;"",A153&lt;TODAY(),O153&lt;&gt;"Published",O153&lt;&gt;"Repurpose"),"⚠ Overdue ","")&amp;IF(AND(J153&lt;&gt;"",D153&lt;&gt;"",IFERROR(J153&gt;INDEX(Setup!$E$9:$E$18,MATCH(D153,Setup!$B$9:$B$18,0)),FALSE())),"✂ Caption too long ","")&amp;IF(AND(M153&lt;&gt;"",D153&lt;&gt;"",IFERROR(M153&gt;INDEX(Setup!$F$9:$F$18,MATCH(D153,Setup!$B$9:$B$18,0)),FALSE())),"# Too many tags","")))</f>
        <v/>
      </c>
      <c r="R153" s="16"/>
      <c r="S153" s="19"/>
      <c r="T153" s="19"/>
      <c r="U153" s="19"/>
      <c r="V153" s="19"/>
      <c r="W153" s="19"/>
      <c r="X153" s="19"/>
      <c r="Y153" s="19"/>
      <c r="Z153" s="47" t="str">
        <f aca="false">IF(COUNT(U153:X153)=0,"",SUM(U153:X153))</f>
        <v/>
      </c>
      <c r="AA153" s="48" t="str">
        <f aca="false">IF(OR(Z153="",N(T153)=0),"",Z153/T153)</f>
        <v/>
      </c>
      <c r="AB153" s="45"/>
      <c r="AC153" s="51" t="str">
        <f aca="false">IF(A153="","",A153+N(C153)+ROW()/10^7)</f>
        <v/>
      </c>
      <c r="AD153" s="51" t="str">
        <f aca="false">IF(A153="","",TEXT(A153,"0")&amp;"|"&amp;COUNTIFS('Content Log'!$A$5:$A$504,A153,'Content Log'!$AC$5:$AC$504,"&lt;="&amp;AC153))</f>
        <v/>
      </c>
      <c r="AE153" s="51" t="str">
        <f aca="false">IF(A153="","",IFERROR(INDEX(Setup!$N$9:$N$14,MATCH(O153,Setup!$M$9:$M$14,0))&amp;" ","")&amp;IF(C153="","",TEXT(C153,"h:mm AM/PM")&amp;" ")&amp;D153&amp;IF(H153="",""," · "&amp;H153))</f>
        <v/>
      </c>
      <c r="AF153" s="51" t="str">
        <f aca="false">IF(OR(A153="",AA153=""),"",IF(AND(A153&gt;=Dashboard!$G$4,A153&lt;=Dashboard!$I$4),AA153+ROW()/10^9,""))</f>
        <v/>
      </c>
      <c r="AG153" s="51" t="str">
        <f aca="false">IF(A153="","",WEEKDAY(A153,2))</f>
        <v/>
      </c>
    </row>
    <row r="154" customFormat="false" ht="15" hidden="false" customHeight="false" outlineLevel="0" collapsed="false">
      <c r="A154" s="43"/>
      <c r="B154" s="11" t="str">
        <f aca="false">IF(A154="","",TEXT(A154,"ddd"))</f>
        <v/>
      </c>
      <c r="C154" s="44"/>
      <c r="D154" s="16"/>
      <c r="E154" s="16"/>
      <c r="F154" s="16"/>
      <c r="G154" s="16"/>
      <c r="H154" s="45"/>
      <c r="I154" s="45"/>
      <c r="J154" s="11" t="str">
        <f aca="false">IF(I154="","",LEN(I154))</f>
        <v/>
      </c>
      <c r="K154" s="16"/>
      <c r="L154" s="16"/>
      <c r="M154" s="11" t="str">
        <f aca="false">IF(L154="","",IFERROR(INDEX('Hashtag Bank'!$E$5:$E$104,MATCH(L154,'Hashtag Bank'!$B$5:$B$104,0)),""))</f>
        <v/>
      </c>
      <c r="N154" s="16"/>
      <c r="O154" s="16"/>
      <c r="P154" s="16"/>
      <c r="Q154" s="46" t="str">
        <f aca="true">IF(A154&amp;H154="","",TRIM(IF(AND(A154&lt;&gt;"",A154&lt;TODAY(),O154&lt;&gt;"Published",O154&lt;&gt;"Repurpose"),"⚠ Overdue ","")&amp;IF(AND(J154&lt;&gt;"",D154&lt;&gt;"",IFERROR(J154&gt;INDEX(Setup!$E$9:$E$18,MATCH(D154,Setup!$B$9:$B$18,0)),FALSE())),"✂ Caption too long ","")&amp;IF(AND(M154&lt;&gt;"",D154&lt;&gt;"",IFERROR(M154&gt;INDEX(Setup!$F$9:$F$18,MATCH(D154,Setup!$B$9:$B$18,0)),FALSE())),"# Too many tags","")))</f>
        <v/>
      </c>
      <c r="R154" s="16"/>
      <c r="S154" s="19"/>
      <c r="T154" s="19"/>
      <c r="U154" s="19"/>
      <c r="V154" s="19"/>
      <c r="W154" s="19"/>
      <c r="X154" s="19"/>
      <c r="Y154" s="19"/>
      <c r="Z154" s="47" t="str">
        <f aca="false">IF(COUNT(U154:X154)=0,"",SUM(U154:X154))</f>
        <v/>
      </c>
      <c r="AA154" s="48" t="str">
        <f aca="false">IF(OR(Z154="",N(T154)=0),"",Z154/T154)</f>
        <v/>
      </c>
      <c r="AB154" s="45"/>
      <c r="AC154" s="51" t="str">
        <f aca="false">IF(A154="","",A154+N(C154)+ROW()/10^7)</f>
        <v/>
      </c>
      <c r="AD154" s="51" t="str">
        <f aca="false">IF(A154="","",TEXT(A154,"0")&amp;"|"&amp;COUNTIFS('Content Log'!$A$5:$A$504,A154,'Content Log'!$AC$5:$AC$504,"&lt;="&amp;AC154))</f>
        <v/>
      </c>
      <c r="AE154" s="51" t="str">
        <f aca="false">IF(A154="","",IFERROR(INDEX(Setup!$N$9:$N$14,MATCH(O154,Setup!$M$9:$M$14,0))&amp;" ","")&amp;IF(C154="","",TEXT(C154,"h:mm AM/PM")&amp;" ")&amp;D154&amp;IF(H154="",""," · "&amp;H154))</f>
        <v/>
      </c>
      <c r="AF154" s="51" t="str">
        <f aca="false">IF(OR(A154="",AA154=""),"",IF(AND(A154&gt;=Dashboard!$G$4,A154&lt;=Dashboard!$I$4),AA154+ROW()/10^9,""))</f>
        <v/>
      </c>
      <c r="AG154" s="51" t="str">
        <f aca="false">IF(A154="","",WEEKDAY(A154,2))</f>
        <v/>
      </c>
    </row>
    <row r="155" customFormat="false" ht="15" hidden="false" customHeight="false" outlineLevel="0" collapsed="false">
      <c r="A155" s="43"/>
      <c r="B155" s="11" t="str">
        <f aca="false">IF(A155="","",TEXT(A155,"ddd"))</f>
        <v/>
      </c>
      <c r="C155" s="44"/>
      <c r="D155" s="16"/>
      <c r="E155" s="16"/>
      <c r="F155" s="16"/>
      <c r="G155" s="16"/>
      <c r="H155" s="45"/>
      <c r="I155" s="45"/>
      <c r="J155" s="11" t="str">
        <f aca="false">IF(I155="","",LEN(I155))</f>
        <v/>
      </c>
      <c r="K155" s="16"/>
      <c r="L155" s="16"/>
      <c r="M155" s="11" t="str">
        <f aca="false">IF(L155="","",IFERROR(INDEX('Hashtag Bank'!$E$5:$E$104,MATCH(L155,'Hashtag Bank'!$B$5:$B$104,0)),""))</f>
        <v/>
      </c>
      <c r="N155" s="16"/>
      <c r="O155" s="16"/>
      <c r="P155" s="16"/>
      <c r="Q155" s="46" t="str">
        <f aca="true">IF(A155&amp;H155="","",TRIM(IF(AND(A155&lt;&gt;"",A155&lt;TODAY(),O155&lt;&gt;"Published",O155&lt;&gt;"Repurpose"),"⚠ Overdue ","")&amp;IF(AND(J155&lt;&gt;"",D155&lt;&gt;"",IFERROR(J155&gt;INDEX(Setup!$E$9:$E$18,MATCH(D155,Setup!$B$9:$B$18,0)),FALSE())),"✂ Caption too long ","")&amp;IF(AND(M155&lt;&gt;"",D155&lt;&gt;"",IFERROR(M155&gt;INDEX(Setup!$F$9:$F$18,MATCH(D155,Setup!$B$9:$B$18,0)),FALSE())),"# Too many tags","")))</f>
        <v/>
      </c>
      <c r="R155" s="16"/>
      <c r="S155" s="19"/>
      <c r="T155" s="19"/>
      <c r="U155" s="19"/>
      <c r="V155" s="19"/>
      <c r="W155" s="19"/>
      <c r="X155" s="19"/>
      <c r="Y155" s="19"/>
      <c r="Z155" s="47" t="str">
        <f aca="false">IF(COUNT(U155:X155)=0,"",SUM(U155:X155))</f>
        <v/>
      </c>
      <c r="AA155" s="48" t="str">
        <f aca="false">IF(OR(Z155="",N(T155)=0),"",Z155/T155)</f>
        <v/>
      </c>
      <c r="AB155" s="45"/>
      <c r="AC155" s="51" t="str">
        <f aca="false">IF(A155="","",A155+N(C155)+ROW()/10^7)</f>
        <v/>
      </c>
      <c r="AD155" s="51" t="str">
        <f aca="false">IF(A155="","",TEXT(A155,"0")&amp;"|"&amp;COUNTIFS('Content Log'!$A$5:$A$504,A155,'Content Log'!$AC$5:$AC$504,"&lt;="&amp;AC155))</f>
        <v/>
      </c>
      <c r="AE155" s="51" t="str">
        <f aca="false">IF(A155="","",IFERROR(INDEX(Setup!$N$9:$N$14,MATCH(O155,Setup!$M$9:$M$14,0))&amp;" ","")&amp;IF(C155="","",TEXT(C155,"h:mm AM/PM")&amp;" ")&amp;D155&amp;IF(H155="",""," · "&amp;H155))</f>
        <v/>
      </c>
      <c r="AF155" s="51" t="str">
        <f aca="false">IF(OR(A155="",AA155=""),"",IF(AND(A155&gt;=Dashboard!$G$4,A155&lt;=Dashboard!$I$4),AA155+ROW()/10^9,""))</f>
        <v/>
      </c>
      <c r="AG155" s="51" t="str">
        <f aca="false">IF(A155="","",WEEKDAY(A155,2))</f>
        <v/>
      </c>
    </row>
    <row r="156" customFormat="false" ht="15" hidden="false" customHeight="false" outlineLevel="0" collapsed="false">
      <c r="A156" s="43"/>
      <c r="B156" s="11" t="str">
        <f aca="false">IF(A156="","",TEXT(A156,"ddd"))</f>
        <v/>
      </c>
      <c r="C156" s="44"/>
      <c r="D156" s="16"/>
      <c r="E156" s="16"/>
      <c r="F156" s="16"/>
      <c r="G156" s="16"/>
      <c r="H156" s="45"/>
      <c r="I156" s="45"/>
      <c r="J156" s="11" t="str">
        <f aca="false">IF(I156="","",LEN(I156))</f>
        <v/>
      </c>
      <c r="K156" s="16"/>
      <c r="L156" s="16"/>
      <c r="M156" s="11" t="str">
        <f aca="false">IF(L156="","",IFERROR(INDEX('Hashtag Bank'!$E$5:$E$104,MATCH(L156,'Hashtag Bank'!$B$5:$B$104,0)),""))</f>
        <v/>
      </c>
      <c r="N156" s="16"/>
      <c r="O156" s="16"/>
      <c r="P156" s="16"/>
      <c r="Q156" s="46" t="str">
        <f aca="true">IF(A156&amp;H156="","",TRIM(IF(AND(A156&lt;&gt;"",A156&lt;TODAY(),O156&lt;&gt;"Published",O156&lt;&gt;"Repurpose"),"⚠ Overdue ","")&amp;IF(AND(J156&lt;&gt;"",D156&lt;&gt;"",IFERROR(J156&gt;INDEX(Setup!$E$9:$E$18,MATCH(D156,Setup!$B$9:$B$18,0)),FALSE())),"✂ Caption too long ","")&amp;IF(AND(M156&lt;&gt;"",D156&lt;&gt;"",IFERROR(M156&gt;INDEX(Setup!$F$9:$F$18,MATCH(D156,Setup!$B$9:$B$18,0)),FALSE())),"# Too many tags","")))</f>
        <v/>
      </c>
      <c r="R156" s="16"/>
      <c r="S156" s="19"/>
      <c r="T156" s="19"/>
      <c r="U156" s="19"/>
      <c r="V156" s="19"/>
      <c r="W156" s="19"/>
      <c r="X156" s="19"/>
      <c r="Y156" s="19"/>
      <c r="Z156" s="47" t="str">
        <f aca="false">IF(COUNT(U156:X156)=0,"",SUM(U156:X156))</f>
        <v/>
      </c>
      <c r="AA156" s="48" t="str">
        <f aca="false">IF(OR(Z156="",N(T156)=0),"",Z156/T156)</f>
        <v/>
      </c>
      <c r="AB156" s="45"/>
      <c r="AC156" s="51" t="str">
        <f aca="false">IF(A156="","",A156+N(C156)+ROW()/10^7)</f>
        <v/>
      </c>
      <c r="AD156" s="51" t="str">
        <f aca="false">IF(A156="","",TEXT(A156,"0")&amp;"|"&amp;COUNTIFS('Content Log'!$A$5:$A$504,A156,'Content Log'!$AC$5:$AC$504,"&lt;="&amp;AC156))</f>
        <v/>
      </c>
      <c r="AE156" s="51" t="str">
        <f aca="false">IF(A156="","",IFERROR(INDEX(Setup!$N$9:$N$14,MATCH(O156,Setup!$M$9:$M$14,0))&amp;" ","")&amp;IF(C156="","",TEXT(C156,"h:mm AM/PM")&amp;" ")&amp;D156&amp;IF(H156="",""," · "&amp;H156))</f>
        <v/>
      </c>
      <c r="AF156" s="51" t="str">
        <f aca="false">IF(OR(A156="",AA156=""),"",IF(AND(A156&gt;=Dashboard!$G$4,A156&lt;=Dashboard!$I$4),AA156+ROW()/10^9,""))</f>
        <v/>
      </c>
      <c r="AG156" s="51" t="str">
        <f aca="false">IF(A156="","",WEEKDAY(A156,2))</f>
        <v/>
      </c>
    </row>
    <row r="157" customFormat="false" ht="15" hidden="false" customHeight="false" outlineLevel="0" collapsed="false">
      <c r="A157" s="43"/>
      <c r="B157" s="11" t="str">
        <f aca="false">IF(A157="","",TEXT(A157,"ddd"))</f>
        <v/>
      </c>
      <c r="C157" s="44"/>
      <c r="D157" s="16"/>
      <c r="E157" s="16"/>
      <c r="F157" s="16"/>
      <c r="G157" s="16"/>
      <c r="H157" s="45"/>
      <c r="I157" s="45"/>
      <c r="J157" s="11" t="str">
        <f aca="false">IF(I157="","",LEN(I157))</f>
        <v/>
      </c>
      <c r="K157" s="16"/>
      <c r="L157" s="16"/>
      <c r="M157" s="11" t="str">
        <f aca="false">IF(L157="","",IFERROR(INDEX('Hashtag Bank'!$E$5:$E$104,MATCH(L157,'Hashtag Bank'!$B$5:$B$104,0)),""))</f>
        <v/>
      </c>
      <c r="N157" s="16"/>
      <c r="O157" s="16"/>
      <c r="P157" s="16"/>
      <c r="Q157" s="46" t="str">
        <f aca="true">IF(A157&amp;H157="","",TRIM(IF(AND(A157&lt;&gt;"",A157&lt;TODAY(),O157&lt;&gt;"Published",O157&lt;&gt;"Repurpose"),"⚠ Overdue ","")&amp;IF(AND(J157&lt;&gt;"",D157&lt;&gt;"",IFERROR(J157&gt;INDEX(Setup!$E$9:$E$18,MATCH(D157,Setup!$B$9:$B$18,0)),FALSE())),"✂ Caption too long ","")&amp;IF(AND(M157&lt;&gt;"",D157&lt;&gt;"",IFERROR(M157&gt;INDEX(Setup!$F$9:$F$18,MATCH(D157,Setup!$B$9:$B$18,0)),FALSE())),"# Too many tags","")))</f>
        <v/>
      </c>
      <c r="R157" s="16"/>
      <c r="S157" s="19"/>
      <c r="T157" s="19"/>
      <c r="U157" s="19"/>
      <c r="V157" s="19"/>
      <c r="W157" s="19"/>
      <c r="X157" s="19"/>
      <c r="Y157" s="19"/>
      <c r="Z157" s="47" t="str">
        <f aca="false">IF(COUNT(U157:X157)=0,"",SUM(U157:X157))</f>
        <v/>
      </c>
      <c r="AA157" s="48" t="str">
        <f aca="false">IF(OR(Z157="",N(T157)=0),"",Z157/T157)</f>
        <v/>
      </c>
      <c r="AB157" s="45"/>
      <c r="AC157" s="51" t="str">
        <f aca="false">IF(A157="","",A157+N(C157)+ROW()/10^7)</f>
        <v/>
      </c>
      <c r="AD157" s="51" t="str">
        <f aca="false">IF(A157="","",TEXT(A157,"0")&amp;"|"&amp;COUNTIFS('Content Log'!$A$5:$A$504,A157,'Content Log'!$AC$5:$AC$504,"&lt;="&amp;AC157))</f>
        <v/>
      </c>
      <c r="AE157" s="51" t="str">
        <f aca="false">IF(A157="","",IFERROR(INDEX(Setup!$N$9:$N$14,MATCH(O157,Setup!$M$9:$M$14,0))&amp;" ","")&amp;IF(C157="","",TEXT(C157,"h:mm AM/PM")&amp;" ")&amp;D157&amp;IF(H157="",""," · "&amp;H157))</f>
        <v/>
      </c>
      <c r="AF157" s="51" t="str">
        <f aca="false">IF(OR(A157="",AA157=""),"",IF(AND(A157&gt;=Dashboard!$G$4,A157&lt;=Dashboard!$I$4),AA157+ROW()/10^9,""))</f>
        <v/>
      </c>
      <c r="AG157" s="51" t="str">
        <f aca="false">IF(A157="","",WEEKDAY(A157,2))</f>
        <v/>
      </c>
    </row>
    <row r="158" customFormat="false" ht="15" hidden="false" customHeight="false" outlineLevel="0" collapsed="false">
      <c r="A158" s="43"/>
      <c r="B158" s="11" t="str">
        <f aca="false">IF(A158="","",TEXT(A158,"ddd"))</f>
        <v/>
      </c>
      <c r="C158" s="44"/>
      <c r="D158" s="16"/>
      <c r="E158" s="16"/>
      <c r="F158" s="16"/>
      <c r="G158" s="16"/>
      <c r="H158" s="45"/>
      <c r="I158" s="45"/>
      <c r="J158" s="11" t="str">
        <f aca="false">IF(I158="","",LEN(I158))</f>
        <v/>
      </c>
      <c r="K158" s="16"/>
      <c r="L158" s="16"/>
      <c r="M158" s="11" t="str">
        <f aca="false">IF(L158="","",IFERROR(INDEX('Hashtag Bank'!$E$5:$E$104,MATCH(L158,'Hashtag Bank'!$B$5:$B$104,0)),""))</f>
        <v/>
      </c>
      <c r="N158" s="16"/>
      <c r="O158" s="16"/>
      <c r="P158" s="16"/>
      <c r="Q158" s="46" t="str">
        <f aca="true">IF(A158&amp;H158="","",TRIM(IF(AND(A158&lt;&gt;"",A158&lt;TODAY(),O158&lt;&gt;"Published",O158&lt;&gt;"Repurpose"),"⚠ Overdue ","")&amp;IF(AND(J158&lt;&gt;"",D158&lt;&gt;"",IFERROR(J158&gt;INDEX(Setup!$E$9:$E$18,MATCH(D158,Setup!$B$9:$B$18,0)),FALSE())),"✂ Caption too long ","")&amp;IF(AND(M158&lt;&gt;"",D158&lt;&gt;"",IFERROR(M158&gt;INDEX(Setup!$F$9:$F$18,MATCH(D158,Setup!$B$9:$B$18,0)),FALSE())),"# Too many tags","")))</f>
        <v/>
      </c>
      <c r="R158" s="16"/>
      <c r="S158" s="19"/>
      <c r="T158" s="19"/>
      <c r="U158" s="19"/>
      <c r="V158" s="19"/>
      <c r="W158" s="19"/>
      <c r="X158" s="19"/>
      <c r="Y158" s="19"/>
      <c r="Z158" s="47" t="str">
        <f aca="false">IF(COUNT(U158:X158)=0,"",SUM(U158:X158))</f>
        <v/>
      </c>
      <c r="AA158" s="48" t="str">
        <f aca="false">IF(OR(Z158="",N(T158)=0),"",Z158/T158)</f>
        <v/>
      </c>
      <c r="AB158" s="45"/>
      <c r="AC158" s="51" t="str">
        <f aca="false">IF(A158="","",A158+N(C158)+ROW()/10^7)</f>
        <v/>
      </c>
      <c r="AD158" s="51" t="str">
        <f aca="false">IF(A158="","",TEXT(A158,"0")&amp;"|"&amp;COUNTIFS('Content Log'!$A$5:$A$504,A158,'Content Log'!$AC$5:$AC$504,"&lt;="&amp;AC158))</f>
        <v/>
      </c>
      <c r="AE158" s="51" t="str">
        <f aca="false">IF(A158="","",IFERROR(INDEX(Setup!$N$9:$N$14,MATCH(O158,Setup!$M$9:$M$14,0))&amp;" ","")&amp;IF(C158="","",TEXT(C158,"h:mm AM/PM")&amp;" ")&amp;D158&amp;IF(H158="",""," · "&amp;H158))</f>
        <v/>
      </c>
      <c r="AF158" s="51" t="str">
        <f aca="false">IF(OR(A158="",AA158=""),"",IF(AND(A158&gt;=Dashboard!$G$4,A158&lt;=Dashboard!$I$4),AA158+ROW()/10^9,""))</f>
        <v/>
      </c>
      <c r="AG158" s="51" t="str">
        <f aca="false">IF(A158="","",WEEKDAY(A158,2))</f>
        <v/>
      </c>
    </row>
    <row r="159" customFormat="false" ht="15" hidden="false" customHeight="false" outlineLevel="0" collapsed="false">
      <c r="A159" s="43"/>
      <c r="B159" s="11" t="str">
        <f aca="false">IF(A159="","",TEXT(A159,"ddd"))</f>
        <v/>
      </c>
      <c r="C159" s="44"/>
      <c r="D159" s="16"/>
      <c r="E159" s="16"/>
      <c r="F159" s="16"/>
      <c r="G159" s="16"/>
      <c r="H159" s="45"/>
      <c r="I159" s="45"/>
      <c r="J159" s="11" t="str">
        <f aca="false">IF(I159="","",LEN(I159))</f>
        <v/>
      </c>
      <c r="K159" s="16"/>
      <c r="L159" s="16"/>
      <c r="M159" s="11" t="str">
        <f aca="false">IF(L159="","",IFERROR(INDEX('Hashtag Bank'!$E$5:$E$104,MATCH(L159,'Hashtag Bank'!$B$5:$B$104,0)),""))</f>
        <v/>
      </c>
      <c r="N159" s="16"/>
      <c r="O159" s="16"/>
      <c r="P159" s="16"/>
      <c r="Q159" s="46" t="str">
        <f aca="true">IF(A159&amp;H159="","",TRIM(IF(AND(A159&lt;&gt;"",A159&lt;TODAY(),O159&lt;&gt;"Published",O159&lt;&gt;"Repurpose"),"⚠ Overdue ","")&amp;IF(AND(J159&lt;&gt;"",D159&lt;&gt;"",IFERROR(J159&gt;INDEX(Setup!$E$9:$E$18,MATCH(D159,Setup!$B$9:$B$18,0)),FALSE())),"✂ Caption too long ","")&amp;IF(AND(M159&lt;&gt;"",D159&lt;&gt;"",IFERROR(M159&gt;INDEX(Setup!$F$9:$F$18,MATCH(D159,Setup!$B$9:$B$18,0)),FALSE())),"# Too many tags","")))</f>
        <v/>
      </c>
      <c r="R159" s="16"/>
      <c r="S159" s="19"/>
      <c r="T159" s="19"/>
      <c r="U159" s="19"/>
      <c r="V159" s="19"/>
      <c r="W159" s="19"/>
      <c r="X159" s="19"/>
      <c r="Y159" s="19"/>
      <c r="Z159" s="47" t="str">
        <f aca="false">IF(COUNT(U159:X159)=0,"",SUM(U159:X159))</f>
        <v/>
      </c>
      <c r="AA159" s="48" t="str">
        <f aca="false">IF(OR(Z159="",N(T159)=0),"",Z159/T159)</f>
        <v/>
      </c>
      <c r="AB159" s="45"/>
      <c r="AC159" s="51" t="str">
        <f aca="false">IF(A159="","",A159+N(C159)+ROW()/10^7)</f>
        <v/>
      </c>
      <c r="AD159" s="51" t="str">
        <f aca="false">IF(A159="","",TEXT(A159,"0")&amp;"|"&amp;COUNTIFS('Content Log'!$A$5:$A$504,A159,'Content Log'!$AC$5:$AC$504,"&lt;="&amp;AC159))</f>
        <v/>
      </c>
      <c r="AE159" s="51" t="str">
        <f aca="false">IF(A159="","",IFERROR(INDEX(Setup!$N$9:$N$14,MATCH(O159,Setup!$M$9:$M$14,0))&amp;" ","")&amp;IF(C159="","",TEXT(C159,"h:mm AM/PM")&amp;" ")&amp;D159&amp;IF(H159="",""," · "&amp;H159))</f>
        <v/>
      </c>
      <c r="AF159" s="51" t="str">
        <f aca="false">IF(OR(A159="",AA159=""),"",IF(AND(A159&gt;=Dashboard!$G$4,A159&lt;=Dashboard!$I$4),AA159+ROW()/10^9,""))</f>
        <v/>
      </c>
      <c r="AG159" s="51" t="str">
        <f aca="false">IF(A159="","",WEEKDAY(A159,2))</f>
        <v/>
      </c>
    </row>
    <row r="160" customFormat="false" ht="15" hidden="false" customHeight="false" outlineLevel="0" collapsed="false">
      <c r="A160" s="43"/>
      <c r="B160" s="11" t="str">
        <f aca="false">IF(A160="","",TEXT(A160,"ddd"))</f>
        <v/>
      </c>
      <c r="C160" s="44"/>
      <c r="D160" s="16"/>
      <c r="E160" s="16"/>
      <c r="F160" s="16"/>
      <c r="G160" s="16"/>
      <c r="H160" s="45"/>
      <c r="I160" s="45"/>
      <c r="J160" s="11" t="str">
        <f aca="false">IF(I160="","",LEN(I160))</f>
        <v/>
      </c>
      <c r="K160" s="16"/>
      <c r="L160" s="16"/>
      <c r="M160" s="11" t="str">
        <f aca="false">IF(L160="","",IFERROR(INDEX('Hashtag Bank'!$E$5:$E$104,MATCH(L160,'Hashtag Bank'!$B$5:$B$104,0)),""))</f>
        <v/>
      </c>
      <c r="N160" s="16"/>
      <c r="O160" s="16"/>
      <c r="P160" s="16"/>
      <c r="Q160" s="46" t="str">
        <f aca="true">IF(A160&amp;H160="","",TRIM(IF(AND(A160&lt;&gt;"",A160&lt;TODAY(),O160&lt;&gt;"Published",O160&lt;&gt;"Repurpose"),"⚠ Overdue ","")&amp;IF(AND(J160&lt;&gt;"",D160&lt;&gt;"",IFERROR(J160&gt;INDEX(Setup!$E$9:$E$18,MATCH(D160,Setup!$B$9:$B$18,0)),FALSE())),"✂ Caption too long ","")&amp;IF(AND(M160&lt;&gt;"",D160&lt;&gt;"",IFERROR(M160&gt;INDEX(Setup!$F$9:$F$18,MATCH(D160,Setup!$B$9:$B$18,0)),FALSE())),"# Too many tags","")))</f>
        <v/>
      </c>
      <c r="R160" s="16"/>
      <c r="S160" s="19"/>
      <c r="T160" s="19"/>
      <c r="U160" s="19"/>
      <c r="V160" s="19"/>
      <c r="W160" s="19"/>
      <c r="X160" s="19"/>
      <c r="Y160" s="19"/>
      <c r="Z160" s="47" t="str">
        <f aca="false">IF(COUNT(U160:X160)=0,"",SUM(U160:X160))</f>
        <v/>
      </c>
      <c r="AA160" s="48" t="str">
        <f aca="false">IF(OR(Z160="",N(T160)=0),"",Z160/T160)</f>
        <v/>
      </c>
      <c r="AB160" s="45"/>
      <c r="AC160" s="51" t="str">
        <f aca="false">IF(A160="","",A160+N(C160)+ROW()/10^7)</f>
        <v/>
      </c>
      <c r="AD160" s="51" t="str">
        <f aca="false">IF(A160="","",TEXT(A160,"0")&amp;"|"&amp;COUNTIFS('Content Log'!$A$5:$A$504,A160,'Content Log'!$AC$5:$AC$504,"&lt;="&amp;AC160))</f>
        <v/>
      </c>
      <c r="AE160" s="51" t="str">
        <f aca="false">IF(A160="","",IFERROR(INDEX(Setup!$N$9:$N$14,MATCH(O160,Setup!$M$9:$M$14,0))&amp;" ","")&amp;IF(C160="","",TEXT(C160,"h:mm AM/PM")&amp;" ")&amp;D160&amp;IF(H160="",""," · "&amp;H160))</f>
        <v/>
      </c>
      <c r="AF160" s="51" t="str">
        <f aca="false">IF(OR(A160="",AA160=""),"",IF(AND(A160&gt;=Dashboard!$G$4,A160&lt;=Dashboard!$I$4),AA160+ROW()/10^9,""))</f>
        <v/>
      </c>
      <c r="AG160" s="51" t="str">
        <f aca="false">IF(A160="","",WEEKDAY(A160,2))</f>
        <v/>
      </c>
    </row>
    <row r="161" customFormat="false" ht="15" hidden="false" customHeight="false" outlineLevel="0" collapsed="false">
      <c r="A161" s="43"/>
      <c r="B161" s="11" t="str">
        <f aca="false">IF(A161="","",TEXT(A161,"ddd"))</f>
        <v/>
      </c>
      <c r="C161" s="44"/>
      <c r="D161" s="16"/>
      <c r="E161" s="16"/>
      <c r="F161" s="16"/>
      <c r="G161" s="16"/>
      <c r="H161" s="45"/>
      <c r="I161" s="45"/>
      <c r="J161" s="11" t="str">
        <f aca="false">IF(I161="","",LEN(I161))</f>
        <v/>
      </c>
      <c r="K161" s="16"/>
      <c r="L161" s="16"/>
      <c r="M161" s="11" t="str">
        <f aca="false">IF(L161="","",IFERROR(INDEX('Hashtag Bank'!$E$5:$E$104,MATCH(L161,'Hashtag Bank'!$B$5:$B$104,0)),""))</f>
        <v/>
      </c>
      <c r="N161" s="16"/>
      <c r="O161" s="16"/>
      <c r="P161" s="16"/>
      <c r="Q161" s="46" t="str">
        <f aca="true">IF(A161&amp;H161="","",TRIM(IF(AND(A161&lt;&gt;"",A161&lt;TODAY(),O161&lt;&gt;"Published",O161&lt;&gt;"Repurpose"),"⚠ Overdue ","")&amp;IF(AND(J161&lt;&gt;"",D161&lt;&gt;"",IFERROR(J161&gt;INDEX(Setup!$E$9:$E$18,MATCH(D161,Setup!$B$9:$B$18,0)),FALSE())),"✂ Caption too long ","")&amp;IF(AND(M161&lt;&gt;"",D161&lt;&gt;"",IFERROR(M161&gt;INDEX(Setup!$F$9:$F$18,MATCH(D161,Setup!$B$9:$B$18,0)),FALSE())),"# Too many tags","")))</f>
        <v/>
      </c>
      <c r="R161" s="16"/>
      <c r="S161" s="19"/>
      <c r="T161" s="19"/>
      <c r="U161" s="19"/>
      <c r="V161" s="19"/>
      <c r="W161" s="19"/>
      <c r="X161" s="19"/>
      <c r="Y161" s="19"/>
      <c r="Z161" s="47" t="str">
        <f aca="false">IF(COUNT(U161:X161)=0,"",SUM(U161:X161))</f>
        <v/>
      </c>
      <c r="AA161" s="48" t="str">
        <f aca="false">IF(OR(Z161="",N(T161)=0),"",Z161/T161)</f>
        <v/>
      </c>
      <c r="AB161" s="45"/>
      <c r="AC161" s="51" t="str">
        <f aca="false">IF(A161="","",A161+N(C161)+ROW()/10^7)</f>
        <v/>
      </c>
      <c r="AD161" s="51" t="str">
        <f aca="false">IF(A161="","",TEXT(A161,"0")&amp;"|"&amp;COUNTIFS('Content Log'!$A$5:$A$504,A161,'Content Log'!$AC$5:$AC$504,"&lt;="&amp;AC161))</f>
        <v/>
      </c>
      <c r="AE161" s="51" t="str">
        <f aca="false">IF(A161="","",IFERROR(INDEX(Setup!$N$9:$N$14,MATCH(O161,Setup!$M$9:$M$14,0))&amp;" ","")&amp;IF(C161="","",TEXT(C161,"h:mm AM/PM")&amp;" ")&amp;D161&amp;IF(H161="",""," · "&amp;H161))</f>
        <v/>
      </c>
      <c r="AF161" s="51" t="str">
        <f aca="false">IF(OR(A161="",AA161=""),"",IF(AND(A161&gt;=Dashboard!$G$4,A161&lt;=Dashboard!$I$4),AA161+ROW()/10^9,""))</f>
        <v/>
      </c>
      <c r="AG161" s="51" t="str">
        <f aca="false">IF(A161="","",WEEKDAY(A161,2))</f>
        <v/>
      </c>
    </row>
    <row r="162" customFormat="false" ht="15" hidden="false" customHeight="false" outlineLevel="0" collapsed="false">
      <c r="A162" s="43"/>
      <c r="B162" s="11" t="str">
        <f aca="false">IF(A162="","",TEXT(A162,"ddd"))</f>
        <v/>
      </c>
      <c r="C162" s="44"/>
      <c r="D162" s="16"/>
      <c r="E162" s="16"/>
      <c r="F162" s="16"/>
      <c r="G162" s="16"/>
      <c r="H162" s="45"/>
      <c r="I162" s="45"/>
      <c r="J162" s="11" t="str">
        <f aca="false">IF(I162="","",LEN(I162))</f>
        <v/>
      </c>
      <c r="K162" s="16"/>
      <c r="L162" s="16"/>
      <c r="M162" s="11" t="str">
        <f aca="false">IF(L162="","",IFERROR(INDEX('Hashtag Bank'!$E$5:$E$104,MATCH(L162,'Hashtag Bank'!$B$5:$B$104,0)),""))</f>
        <v/>
      </c>
      <c r="N162" s="16"/>
      <c r="O162" s="16"/>
      <c r="P162" s="16"/>
      <c r="Q162" s="46" t="str">
        <f aca="true">IF(A162&amp;H162="","",TRIM(IF(AND(A162&lt;&gt;"",A162&lt;TODAY(),O162&lt;&gt;"Published",O162&lt;&gt;"Repurpose"),"⚠ Overdue ","")&amp;IF(AND(J162&lt;&gt;"",D162&lt;&gt;"",IFERROR(J162&gt;INDEX(Setup!$E$9:$E$18,MATCH(D162,Setup!$B$9:$B$18,0)),FALSE())),"✂ Caption too long ","")&amp;IF(AND(M162&lt;&gt;"",D162&lt;&gt;"",IFERROR(M162&gt;INDEX(Setup!$F$9:$F$18,MATCH(D162,Setup!$B$9:$B$18,0)),FALSE())),"# Too many tags","")))</f>
        <v/>
      </c>
      <c r="R162" s="16"/>
      <c r="S162" s="19"/>
      <c r="T162" s="19"/>
      <c r="U162" s="19"/>
      <c r="V162" s="19"/>
      <c r="W162" s="19"/>
      <c r="X162" s="19"/>
      <c r="Y162" s="19"/>
      <c r="Z162" s="47" t="str">
        <f aca="false">IF(COUNT(U162:X162)=0,"",SUM(U162:X162))</f>
        <v/>
      </c>
      <c r="AA162" s="48" t="str">
        <f aca="false">IF(OR(Z162="",N(T162)=0),"",Z162/T162)</f>
        <v/>
      </c>
      <c r="AB162" s="45"/>
      <c r="AC162" s="51" t="str">
        <f aca="false">IF(A162="","",A162+N(C162)+ROW()/10^7)</f>
        <v/>
      </c>
      <c r="AD162" s="51" t="str">
        <f aca="false">IF(A162="","",TEXT(A162,"0")&amp;"|"&amp;COUNTIFS('Content Log'!$A$5:$A$504,A162,'Content Log'!$AC$5:$AC$504,"&lt;="&amp;AC162))</f>
        <v/>
      </c>
      <c r="AE162" s="51" t="str">
        <f aca="false">IF(A162="","",IFERROR(INDEX(Setup!$N$9:$N$14,MATCH(O162,Setup!$M$9:$M$14,0))&amp;" ","")&amp;IF(C162="","",TEXT(C162,"h:mm AM/PM")&amp;" ")&amp;D162&amp;IF(H162="",""," · "&amp;H162))</f>
        <v/>
      </c>
      <c r="AF162" s="51" t="str">
        <f aca="false">IF(OR(A162="",AA162=""),"",IF(AND(A162&gt;=Dashboard!$G$4,A162&lt;=Dashboard!$I$4),AA162+ROW()/10^9,""))</f>
        <v/>
      </c>
      <c r="AG162" s="51" t="str">
        <f aca="false">IF(A162="","",WEEKDAY(A162,2))</f>
        <v/>
      </c>
    </row>
    <row r="163" customFormat="false" ht="15" hidden="false" customHeight="false" outlineLevel="0" collapsed="false">
      <c r="A163" s="43"/>
      <c r="B163" s="11" t="str">
        <f aca="false">IF(A163="","",TEXT(A163,"ddd"))</f>
        <v/>
      </c>
      <c r="C163" s="44"/>
      <c r="D163" s="16"/>
      <c r="E163" s="16"/>
      <c r="F163" s="16"/>
      <c r="G163" s="16"/>
      <c r="H163" s="45"/>
      <c r="I163" s="45"/>
      <c r="J163" s="11" t="str">
        <f aca="false">IF(I163="","",LEN(I163))</f>
        <v/>
      </c>
      <c r="K163" s="16"/>
      <c r="L163" s="16"/>
      <c r="M163" s="11" t="str">
        <f aca="false">IF(L163="","",IFERROR(INDEX('Hashtag Bank'!$E$5:$E$104,MATCH(L163,'Hashtag Bank'!$B$5:$B$104,0)),""))</f>
        <v/>
      </c>
      <c r="N163" s="16"/>
      <c r="O163" s="16"/>
      <c r="P163" s="16"/>
      <c r="Q163" s="46" t="str">
        <f aca="true">IF(A163&amp;H163="","",TRIM(IF(AND(A163&lt;&gt;"",A163&lt;TODAY(),O163&lt;&gt;"Published",O163&lt;&gt;"Repurpose"),"⚠ Overdue ","")&amp;IF(AND(J163&lt;&gt;"",D163&lt;&gt;"",IFERROR(J163&gt;INDEX(Setup!$E$9:$E$18,MATCH(D163,Setup!$B$9:$B$18,0)),FALSE())),"✂ Caption too long ","")&amp;IF(AND(M163&lt;&gt;"",D163&lt;&gt;"",IFERROR(M163&gt;INDEX(Setup!$F$9:$F$18,MATCH(D163,Setup!$B$9:$B$18,0)),FALSE())),"# Too many tags","")))</f>
        <v/>
      </c>
      <c r="R163" s="16"/>
      <c r="S163" s="19"/>
      <c r="T163" s="19"/>
      <c r="U163" s="19"/>
      <c r="V163" s="19"/>
      <c r="W163" s="19"/>
      <c r="X163" s="19"/>
      <c r="Y163" s="19"/>
      <c r="Z163" s="47" t="str">
        <f aca="false">IF(COUNT(U163:X163)=0,"",SUM(U163:X163))</f>
        <v/>
      </c>
      <c r="AA163" s="48" t="str">
        <f aca="false">IF(OR(Z163="",N(T163)=0),"",Z163/T163)</f>
        <v/>
      </c>
      <c r="AB163" s="45"/>
      <c r="AC163" s="51" t="str">
        <f aca="false">IF(A163="","",A163+N(C163)+ROW()/10^7)</f>
        <v/>
      </c>
      <c r="AD163" s="51" t="str">
        <f aca="false">IF(A163="","",TEXT(A163,"0")&amp;"|"&amp;COUNTIFS('Content Log'!$A$5:$A$504,A163,'Content Log'!$AC$5:$AC$504,"&lt;="&amp;AC163))</f>
        <v/>
      </c>
      <c r="AE163" s="51" t="str">
        <f aca="false">IF(A163="","",IFERROR(INDEX(Setup!$N$9:$N$14,MATCH(O163,Setup!$M$9:$M$14,0))&amp;" ","")&amp;IF(C163="","",TEXT(C163,"h:mm AM/PM")&amp;" ")&amp;D163&amp;IF(H163="",""," · "&amp;H163))</f>
        <v/>
      </c>
      <c r="AF163" s="51" t="str">
        <f aca="false">IF(OR(A163="",AA163=""),"",IF(AND(A163&gt;=Dashboard!$G$4,A163&lt;=Dashboard!$I$4),AA163+ROW()/10^9,""))</f>
        <v/>
      </c>
      <c r="AG163" s="51" t="str">
        <f aca="false">IF(A163="","",WEEKDAY(A163,2))</f>
        <v/>
      </c>
    </row>
    <row r="164" customFormat="false" ht="15" hidden="false" customHeight="false" outlineLevel="0" collapsed="false">
      <c r="A164" s="43"/>
      <c r="B164" s="11" t="str">
        <f aca="false">IF(A164="","",TEXT(A164,"ddd"))</f>
        <v/>
      </c>
      <c r="C164" s="44"/>
      <c r="D164" s="16"/>
      <c r="E164" s="16"/>
      <c r="F164" s="16"/>
      <c r="G164" s="16"/>
      <c r="H164" s="45"/>
      <c r="I164" s="45"/>
      <c r="J164" s="11" t="str">
        <f aca="false">IF(I164="","",LEN(I164))</f>
        <v/>
      </c>
      <c r="K164" s="16"/>
      <c r="L164" s="16"/>
      <c r="M164" s="11" t="str">
        <f aca="false">IF(L164="","",IFERROR(INDEX('Hashtag Bank'!$E$5:$E$104,MATCH(L164,'Hashtag Bank'!$B$5:$B$104,0)),""))</f>
        <v/>
      </c>
      <c r="N164" s="16"/>
      <c r="O164" s="16"/>
      <c r="P164" s="16"/>
      <c r="Q164" s="46" t="str">
        <f aca="true">IF(A164&amp;H164="","",TRIM(IF(AND(A164&lt;&gt;"",A164&lt;TODAY(),O164&lt;&gt;"Published",O164&lt;&gt;"Repurpose"),"⚠ Overdue ","")&amp;IF(AND(J164&lt;&gt;"",D164&lt;&gt;"",IFERROR(J164&gt;INDEX(Setup!$E$9:$E$18,MATCH(D164,Setup!$B$9:$B$18,0)),FALSE())),"✂ Caption too long ","")&amp;IF(AND(M164&lt;&gt;"",D164&lt;&gt;"",IFERROR(M164&gt;INDEX(Setup!$F$9:$F$18,MATCH(D164,Setup!$B$9:$B$18,0)),FALSE())),"# Too many tags","")))</f>
        <v/>
      </c>
      <c r="R164" s="16"/>
      <c r="S164" s="19"/>
      <c r="T164" s="19"/>
      <c r="U164" s="19"/>
      <c r="V164" s="19"/>
      <c r="W164" s="19"/>
      <c r="X164" s="19"/>
      <c r="Y164" s="19"/>
      <c r="Z164" s="47" t="str">
        <f aca="false">IF(COUNT(U164:X164)=0,"",SUM(U164:X164))</f>
        <v/>
      </c>
      <c r="AA164" s="48" t="str">
        <f aca="false">IF(OR(Z164="",N(T164)=0),"",Z164/T164)</f>
        <v/>
      </c>
      <c r="AB164" s="45"/>
      <c r="AC164" s="51" t="str">
        <f aca="false">IF(A164="","",A164+N(C164)+ROW()/10^7)</f>
        <v/>
      </c>
      <c r="AD164" s="51" t="str">
        <f aca="false">IF(A164="","",TEXT(A164,"0")&amp;"|"&amp;COUNTIFS('Content Log'!$A$5:$A$504,A164,'Content Log'!$AC$5:$AC$504,"&lt;="&amp;AC164))</f>
        <v/>
      </c>
      <c r="AE164" s="51" t="str">
        <f aca="false">IF(A164="","",IFERROR(INDEX(Setup!$N$9:$N$14,MATCH(O164,Setup!$M$9:$M$14,0))&amp;" ","")&amp;IF(C164="","",TEXT(C164,"h:mm AM/PM")&amp;" ")&amp;D164&amp;IF(H164="",""," · "&amp;H164))</f>
        <v/>
      </c>
      <c r="AF164" s="51" t="str">
        <f aca="false">IF(OR(A164="",AA164=""),"",IF(AND(A164&gt;=Dashboard!$G$4,A164&lt;=Dashboard!$I$4),AA164+ROW()/10^9,""))</f>
        <v/>
      </c>
      <c r="AG164" s="51" t="str">
        <f aca="false">IF(A164="","",WEEKDAY(A164,2))</f>
        <v/>
      </c>
    </row>
    <row r="165" customFormat="false" ht="15" hidden="false" customHeight="false" outlineLevel="0" collapsed="false">
      <c r="A165" s="43"/>
      <c r="B165" s="11" t="str">
        <f aca="false">IF(A165="","",TEXT(A165,"ddd"))</f>
        <v/>
      </c>
      <c r="C165" s="44"/>
      <c r="D165" s="16"/>
      <c r="E165" s="16"/>
      <c r="F165" s="16"/>
      <c r="G165" s="16"/>
      <c r="H165" s="45"/>
      <c r="I165" s="45"/>
      <c r="J165" s="11" t="str">
        <f aca="false">IF(I165="","",LEN(I165))</f>
        <v/>
      </c>
      <c r="K165" s="16"/>
      <c r="L165" s="16"/>
      <c r="M165" s="11" t="str">
        <f aca="false">IF(L165="","",IFERROR(INDEX('Hashtag Bank'!$E$5:$E$104,MATCH(L165,'Hashtag Bank'!$B$5:$B$104,0)),""))</f>
        <v/>
      </c>
      <c r="N165" s="16"/>
      <c r="O165" s="16"/>
      <c r="P165" s="16"/>
      <c r="Q165" s="46" t="str">
        <f aca="true">IF(A165&amp;H165="","",TRIM(IF(AND(A165&lt;&gt;"",A165&lt;TODAY(),O165&lt;&gt;"Published",O165&lt;&gt;"Repurpose"),"⚠ Overdue ","")&amp;IF(AND(J165&lt;&gt;"",D165&lt;&gt;"",IFERROR(J165&gt;INDEX(Setup!$E$9:$E$18,MATCH(D165,Setup!$B$9:$B$18,0)),FALSE())),"✂ Caption too long ","")&amp;IF(AND(M165&lt;&gt;"",D165&lt;&gt;"",IFERROR(M165&gt;INDEX(Setup!$F$9:$F$18,MATCH(D165,Setup!$B$9:$B$18,0)),FALSE())),"# Too many tags","")))</f>
        <v/>
      </c>
      <c r="R165" s="16"/>
      <c r="S165" s="19"/>
      <c r="T165" s="19"/>
      <c r="U165" s="19"/>
      <c r="V165" s="19"/>
      <c r="W165" s="19"/>
      <c r="X165" s="19"/>
      <c r="Y165" s="19"/>
      <c r="Z165" s="47" t="str">
        <f aca="false">IF(COUNT(U165:X165)=0,"",SUM(U165:X165))</f>
        <v/>
      </c>
      <c r="AA165" s="48" t="str">
        <f aca="false">IF(OR(Z165="",N(T165)=0),"",Z165/T165)</f>
        <v/>
      </c>
      <c r="AB165" s="45"/>
      <c r="AC165" s="51" t="str">
        <f aca="false">IF(A165="","",A165+N(C165)+ROW()/10^7)</f>
        <v/>
      </c>
      <c r="AD165" s="51" t="str">
        <f aca="false">IF(A165="","",TEXT(A165,"0")&amp;"|"&amp;COUNTIFS('Content Log'!$A$5:$A$504,A165,'Content Log'!$AC$5:$AC$504,"&lt;="&amp;AC165))</f>
        <v/>
      </c>
      <c r="AE165" s="51" t="str">
        <f aca="false">IF(A165="","",IFERROR(INDEX(Setup!$N$9:$N$14,MATCH(O165,Setup!$M$9:$M$14,0))&amp;" ","")&amp;IF(C165="","",TEXT(C165,"h:mm AM/PM")&amp;" ")&amp;D165&amp;IF(H165="",""," · "&amp;H165))</f>
        <v/>
      </c>
      <c r="AF165" s="51" t="str">
        <f aca="false">IF(OR(A165="",AA165=""),"",IF(AND(A165&gt;=Dashboard!$G$4,A165&lt;=Dashboard!$I$4),AA165+ROW()/10^9,""))</f>
        <v/>
      </c>
      <c r="AG165" s="51" t="str">
        <f aca="false">IF(A165="","",WEEKDAY(A165,2))</f>
        <v/>
      </c>
    </row>
    <row r="166" customFormat="false" ht="15" hidden="false" customHeight="false" outlineLevel="0" collapsed="false">
      <c r="A166" s="43"/>
      <c r="B166" s="11" t="str">
        <f aca="false">IF(A166="","",TEXT(A166,"ddd"))</f>
        <v/>
      </c>
      <c r="C166" s="44"/>
      <c r="D166" s="16"/>
      <c r="E166" s="16"/>
      <c r="F166" s="16"/>
      <c r="G166" s="16"/>
      <c r="H166" s="45"/>
      <c r="I166" s="45"/>
      <c r="J166" s="11" t="str">
        <f aca="false">IF(I166="","",LEN(I166))</f>
        <v/>
      </c>
      <c r="K166" s="16"/>
      <c r="L166" s="16"/>
      <c r="M166" s="11" t="str">
        <f aca="false">IF(L166="","",IFERROR(INDEX('Hashtag Bank'!$E$5:$E$104,MATCH(L166,'Hashtag Bank'!$B$5:$B$104,0)),""))</f>
        <v/>
      </c>
      <c r="N166" s="16"/>
      <c r="O166" s="16"/>
      <c r="P166" s="16"/>
      <c r="Q166" s="46" t="str">
        <f aca="true">IF(A166&amp;H166="","",TRIM(IF(AND(A166&lt;&gt;"",A166&lt;TODAY(),O166&lt;&gt;"Published",O166&lt;&gt;"Repurpose"),"⚠ Overdue ","")&amp;IF(AND(J166&lt;&gt;"",D166&lt;&gt;"",IFERROR(J166&gt;INDEX(Setup!$E$9:$E$18,MATCH(D166,Setup!$B$9:$B$18,0)),FALSE())),"✂ Caption too long ","")&amp;IF(AND(M166&lt;&gt;"",D166&lt;&gt;"",IFERROR(M166&gt;INDEX(Setup!$F$9:$F$18,MATCH(D166,Setup!$B$9:$B$18,0)),FALSE())),"# Too many tags","")))</f>
        <v/>
      </c>
      <c r="R166" s="16"/>
      <c r="S166" s="19"/>
      <c r="T166" s="19"/>
      <c r="U166" s="19"/>
      <c r="V166" s="19"/>
      <c r="W166" s="19"/>
      <c r="X166" s="19"/>
      <c r="Y166" s="19"/>
      <c r="Z166" s="47" t="str">
        <f aca="false">IF(COUNT(U166:X166)=0,"",SUM(U166:X166))</f>
        <v/>
      </c>
      <c r="AA166" s="48" t="str">
        <f aca="false">IF(OR(Z166="",N(T166)=0),"",Z166/T166)</f>
        <v/>
      </c>
      <c r="AB166" s="45"/>
      <c r="AC166" s="51" t="str">
        <f aca="false">IF(A166="","",A166+N(C166)+ROW()/10^7)</f>
        <v/>
      </c>
      <c r="AD166" s="51" t="str">
        <f aca="false">IF(A166="","",TEXT(A166,"0")&amp;"|"&amp;COUNTIFS('Content Log'!$A$5:$A$504,A166,'Content Log'!$AC$5:$AC$504,"&lt;="&amp;AC166))</f>
        <v/>
      </c>
      <c r="AE166" s="51" t="str">
        <f aca="false">IF(A166="","",IFERROR(INDEX(Setup!$N$9:$N$14,MATCH(O166,Setup!$M$9:$M$14,0))&amp;" ","")&amp;IF(C166="","",TEXT(C166,"h:mm AM/PM")&amp;" ")&amp;D166&amp;IF(H166="",""," · "&amp;H166))</f>
        <v/>
      </c>
      <c r="AF166" s="51" t="str">
        <f aca="false">IF(OR(A166="",AA166=""),"",IF(AND(A166&gt;=Dashboard!$G$4,A166&lt;=Dashboard!$I$4),AA166+ROW()/10^9,""))</f>
        <v/>
      </c>
      <c r="AG166" s="51" t="str">
        <f aca="false">IF(A166="","",WEEKDAY(A166,2))</f>
        <v/>
      </c>
    </row>
    <row r="167" customFormat="false" ht="15" hidden="false" customHeight="false" outlineLevel="0" collapsed="false">
      <c r="A167" s="43"/>
      <c r="B167" s="11" t="str">
        <f aca="false">IF(A167="","",TEXT(A167,"ddd"))</f>
        <v/>
      </c>
      <c r="C167" s="44"/>
      <c r="D167" s="16"/>
      <c r="E167" s="16"/>
      <c r="F167" s="16"/>
      <c r="G167" s="16"/>
      <c r="H167" s="45"/>
      <c r="I167" s="45"/>
      <c r="J167" s="11" t="str">
        <f aca="false">IF(I167="","",LEN(I167))</f>
        <v/>
      </c>
      <c r="K167" s="16"/>
      <c r="L167" s="16"/>
      <c r="M167" s="11" t="str">
        <f aca="false">IF(L167="","",IFERROR(INDEX('Hashtag Bank'!$E$5:$E$104,MATCH(L167,'Hashtag Bank'!$B$5:$B$104,0)),""))</f>
        <v/>
      </c>
      <c r="N167" s="16"/>
      <c r="O167" s="16"/>
      <c r="P167" s="16"/>
      <c r="Q167" s="46" t="str">
        <f aca="true">IF(A167&amp;H167="","",TRIM(IF(AND(A167&lt;&gt;"",A167&lt;TODAY(),O167&lt;&gt;"Published",O167&lt;&gt;"Repurpose"),"⚠ Overdue ","")&amp;IF(AND(J167&lt;&gt;"",D167&lt;&gt;"",IFERROR(J167&gt;INDEX(Setup!$E$9:$E$18,MATCH(D167,Setup!$B$9:$B$18,0)),FALSE())),"✂ Caption too long ","")&amp;IF(AND(M167&lt;&gt;"",D167&lt;&gt;"",IFERROR(M167&gt;INDEX(Setup!$F$9:$F$18,MATCH(D167,Setup!$B$9:$B$18,0)),FALSE())),"# Too many tags","")))</f>
        <v/>
      </c>
      <c r="R167" s="16"/>
      <c r="S167" s="19"/>
      <c r="T167" s="19"/>
      <c r="U167" s="19"/>
      <c r="V167" s="19"/>
      <c r="W167" s="19"/>
      <c r="X167" s="19"/>
      <c r="Y167" s="19"/>
      <c r="Z167" s="47" t="str">
        <f aca="false">IF(COUNT(U167:X167)=0,"",SUM(U167:X167))</f>
        <v/>
      </c>
      <c r="AA167" s="48" t="str">
        <f aca="false">IF(OR(Z167="",N(T167)=0),"",Z167/T167)</f>
        <v/>
      </c>
      <c r="AB167" s="45"/>
      <c r="AC167" s="51" t="str">
        <f aca="false">IF(A167="","",A167+N(C167)+ROW()/10^7)</f>
        <v/>
      </c>
      <c r="AD167" s="51" t="str">
        <f aca="false">IF(A167="","",TEXT(A167,"0")&amp;"|"&amp;COUNTIFS('Content Log'!$A$5:$A$504,A167,'Content Log'!$AC$5:$AC$504,"&lt;="&amp;AC167))</f>
        <v/>
      </c>
      <c r="AE167" s="51" t="str">
        <f aca="false">IF(A167="","",IFERROR(INDEX(Setup!$N$9:$N$14,MATCH(O167,Setup!$M$9:$M$14,0))&amp;" ","")&amp;IF(C167="","",TEXT(C167,"h:mm AM/PM")&amp;" ")&amp;D167&amp;IF(H167="",""," · "&amp;H167))</f>
        <v/>
      </c>
      <c r="AF167" s="51" t="str">
        <f aca="false">IF(OR(A167="",AA167=""),"",IF(AND(A167&gt;=Dashboard!$G$4,A167&lt;=Dashboard!$I$4),AA167+ROW()/10^9,""))</f>
        <v/>
      </c>
      <c r="AG167" s="51" t="str">
        <f aca="false">IF(A167="","",WEEKDAY(A167,2))</f>
        <v/>
      </c>
    </row>
    <row r="168" customFormat="false" ht="15" hidden="false" customHeight="false" outlineLevel="0" collapsed="false">
      <c r="A168" s="43"/>
      <c r="B168" s="11" t="str">
        <f aca="false">IF(A168="","",TEXT(A168,"ddd"))</f>
        <v/>
      </c>
      <c r="C168" s="44"/>
      <c r="D168" s="16"/>
      <c r="E168" s="16"/>
      <c r="F168" s="16"/>
      <c r="G168" s="16"/>
      <c r="H168" s="45"/>
      <c r="I168" s="45"/>
      <c r="J168" s="11" t="str">
        <f aca="false">IF(I168="","",LEN(I168))</f>
        <v/>
      </c>
      <c r="K168" s="16"/>
      <c r="L168" s="16"/>
      <c r="M168" s="11" t="str">
        <f aca="false">IF(L168="","",IFERROR(INDEX('Hashtag Bank'!$E$5:$E$104,MATCH(L168,'Hashtag Bank'!$B$5:$B$104,0)),""))</f>
        <v/>
      </c>
      <c r="N168" s="16"/>
      <c r="O168" s="16"/>
      <c r="P168" s="16"/>
      <c r="Q168" s="46" t="str">
        <f aca="true">IF(A168&amp;H168="","",TRIM(IF(AND(A168&lt;&gt;"",A168&lt;TODAY(),O168&lt;&gt;"Published",O168&lt;&gt;"Repurpose"),"⚠ Overdue ","")&amp;IF(AND(J168&lt;&gt;"",D168&lt;&gt;"",IFERROR(J168&gt;INDEX(Setup!$E$9:$E$18,MATCH(D168,Setup!$B$9:$B$18,0)),FALSE())),"✂ Caption too long ","")&amp;IF(AND(M168&lt;&gt;"",D168&lt;&gt;"",IFERROR(M168&gt;INDEX(Setup!$F$9:$F$18,MATCH(D168,Setup!$B$9:$B$18,0)),FALSE())),"# Too many tags","")))</f>
        <v/>
      </c>
      <c r="R168" s="16"/>
      <c r="S168" s="19"/>
      <c r="T168" s="19"/>
      <c r="U168" s="19"/>
      <c r="V168" s="19"/>
      <c r="W168" s="19"/>
      <c r="X168" s="19"/>
      <c r="Y168" s="19"/>
      <c r="Z168" s="47" t="str">
        <f aca="false">IF(COUNT(U168:X168)=0,"",SUM(U168:X168))</f>
        <v/>
      </c>
      <c r="AA168" s="48" t="str">
        <f aca="false">IF(OR(Z168="",N(T168)=0),"",Z168/T168)</f>
        <v/>
      </c>
      <c r="AB168" s="45"/>
      <c r="AC168" s="51" t="str">
        <f aca="false">IF(A168="","",A168+N(C168)+ROW()/10^7)</f>
        <v/>
      </c>
      <c r="AD168" s="51" t="str">
        <f aca="false">IF(A168="","",TEXT(A168,"0")&amp;"|"&amp;COUNTIFS('Content Log'!$A$5:$A$504,A168,'Content Log'!$AC$5:$AC$504,"&lt;="&amp;AC168))</f>
        <v/>
      </c>
      <c r="AE168" s="51" t="str">
        <f aca="false">IF(A168="","",IFERROR(INDEX(Setup!$N$9:$N$14,MATCH(O168,Setup!$M$9:$M$14,0))&amp;" ","")&amp;IF(C168="","",TEXT(C168,"h:mm AM/PM")&amp;" ")&amp;D168&amp;IF(H168="",""," · "&amp;H168))</f>
        <v/>
      </c>
      <c r="AF168" s="51" t="str">
        <f aca="false">IF(OR(A168="",AA168=""),"",IF(AND(A168&gt;=Dashboard!$G$4,A168&lt;=Dashboard!$I$4),AA168+ROW()/10^9,""))</f>
        <v/>
      </c>
      <c r="AG168" s="51" t="str">
        <f aca="false">IF(A168="","",WEEKDAY(A168,2))</f>
        <v/>
      </c>
    </row>
    <row r="169" customFormat="false" ht="15" hidden="false" customHeight="false" outlineLevel="0" collapsed="false">
      <c r="A169" s="43"/>
      <c r="B169" s="11" t="str">
        <f aca="false">IF(A169="","",TEXT(A169,"ddd"))</f>
        <v/>
      </c>
      <c r="C169" s="44"/>
      <c r="D169" s="16"/>
      <c r="E169" s="16"/>
      <c r="F169" s="16"/>
      <c r="G169" s="16"/>
      <c r="H169" s="45"/>
      <c r="I169" s="45"/>
      <c r="J169" s="11" t="str">
        <f aca="false">IF(I169="","",LEN(I169))</f>
        <v/>
      </c>
      <c r="K169" s="16"/>
      <c r="L169" s="16"/>
      <c r="M169" s="11" t="str">
        <f aca="false">IF(L169="","",IFERROR(INDEX('Hashtag Bank'!$E$5:$E$104,MATCH(L169,'Hashtag Bank'!$B$5:$B$104,0)),""))</f>
        <v/>
      </c>
      <c r="N169" s="16"/>
      <c r="O169" s="16"/>
      <c r="P169" s="16"/>
      <c r="Q169" s="46" t="str">
        <f aca="true">IF(A169&amp;H169="","",TRIM(IF(AND(A169&lt;&gt;"",A169&lt;TODAY(),O169&lt;&gt;"Published",O169&lt;&gt;"Repurpose"),"⚠ Overdue ","")&amp;IF(AND(J169&lt;&gt;"",D169&lt;&gt;"",IFERROR(J169&gt;INDEX(Setup!$E$9:$E$18,MATCH(D169,Setup!$B$9:$B$18,0)),FALSE())),"✂ Caption too long ","")&amp;IF(AND(M169&lt;&gt;"",D169&lt;&gt;"",IFERROR(M169&gt;INDEX(Setup!$F$9:$F$18,MATCH(D169,Setup!$B$9:$B$18,0)),FALSE())),"# Too many tags","")))</f>
        <v/>
      </c>
      <c r="R169" s="16"/>
      <c r="S169" s="19"/>
      <c r="T169" s="19"/>
      <c r="U169" s="19"/>
      <c r="V169" s="19"/>
      <c r="W169" s="19"/>
      <c r="X169" s="19"/>
      <c r="Y169" s="19"/>
      <c r="Z169" s="47" t="str">
        <f aca="false">IF(COUNT(U169:X169)=0,"",SUM(U169:X169))</f>
        <v/>
      </c>
      <c r="AA169" s="48" t="str">
        <f aca="false">IF(OR(Z169="",N(T169)=0),"",Z169/T169)</f>
        <v/>
      </c>
      <c r="AB169" s="45"/>
      <c r="AC169" s="51" t="str">
        <f aca="false">IF(A169="","",A169+N(C169)+ROW()/10^7)</f>
        <v/>
      </c>
      <c r="AD169" s="51" t="str">
        <f aca="false">IF(A169="","",TEXT(A169,"0")&amp;"|"&amp;COUNTIFS('Content Log'!$A$5:$A$504,A169,'Content Log'!$AC$5:$AC$504,"&lt;="&amp;AC169))</f>
        <v/>
      </c>
      <c r="AE169" s="51" t="str">
        <f aca="false">IF(A169="","",IFERROR(INDEX(Setup!$N$9:$N$14,MATCH(O169,Setup!$M$9:$M$14,0))&amp;" ","")&amp;IF(C169="","",TEXT(C169,"h:mm AM/PM")&amp;" ")&amp;D169&amp;IF(H169="",""," · "&amp;H169))</f>
        <v/>
      </c>
      <c r="AF169" s="51" t="str">
        <f aca="false">IF(OR(A169="",AA169=""),"",IF(AND(A169&gt;=Dashboard!$G$4,A169&lt;=Dashboard!$I$4),AA169+ROW()/10^9,""))</f>
        <v/>
      </c>
      <c r="AG169" s="51" t="str">
        <f aca="false">IF(A169="","",WEEKDAY(A169,2))</f>
        <v/>
      </c>
    </row>
    <row r="170" customFormat="false" ht="15" hidden="false" customHeight="false" outlineLevel="0" collapsed="false">
      <c r="A170" s="43"/>
      <c r="B170" s="11" t="str">
        <f aca="false">IF(A170="","",TEXT(A170,"ddd"))</f>
        <v/>
      </c>
      <c r="C170" s="44"/>
      <c r="D170" s="16"/>
      <c r="E170" s="16"/>
      <c r="F170" s="16"/>
      <c r="G170" s="16"/>
      <c r="H170" s="45"/>
      <c r="I170" s="45"/>
      <c r="J170" s="11" t="str">
        <f aca="false">IF(I170="","",LEN(I170))</f>
        <v/>
      </c>
      <c r="K170" s="16"/>
      <c r="L170" s="16"/>
      <c r="M170" s="11" t="str">
        <f aca="false">IF(L170="","",IFERROR(INDEX('Hashtag Bank'!$E$5:$E$104,MATCH(L170,'Hashtag Bank'!$B$5:$B$104,0)),""))</f>
        <v/>
      </c>
      <c r="N170" s="16"/>
      <c r="O170" s="16"/>
      <c r="P170" s="16"/>
      <c r="Q170" s="46" t="str">
        <f aca="true">IF(A170&amp;H170="","",TRIM(IF(AND(A170&lt;&gt;"",A170&lt;TODAY(),O170&lt;&gt;"Published",O170&lt;&gt;"Repurpose"),"⚠ Overdue ","")&amp;IF(AND(J170&lt;&gt;"",D170&lt;&gt;"",IFERROR(J170&gt;INDEX(Setup!$E$9:$E$18,MATCH(D170,Setup!$B$9:$B$18,0)),FALSE())),"✂ Caption too long ","")&amp;IF(AND(M170&lt;&gt;"",D170&lt;&gt;"",IFERROR(M170&gt;INDEX(Setup!$F$9:$F$18,MATCH(D170,Setup!$B$9:$B$18,0)),FALSE())),"# Too many tags","")))</f>
        <v/>
      </c>
      <c r="R170" s="16"/>
      <c r="S170" s="19"/>
      <c r="T170" s="19"/>
      <c r="U170" s="19"/>
      <c r="V170" s="19"/>
      <c r="W170" s="19"/>
      <c r="X170" s="19"/>
      <c r="Y170" s="19"/>
      <c r="Z170" s="47" t="str">
        <f aca="false">IF(COUNT(U170:X170)=0,"",SUM(U170:X170))</f>
        <v/>
      </c>
      <c r="AA170" s="48" t="str">
        <f aca="false">IF(OR(Z170="",N(T170)=0),"",Z170/T170)</f>
        <v/>
      </c>
      <c r="AB170" s="45"/>
      <c r="AC170" s="51" t="str">
        <f aca="false">IF(A170="","",A170+N(C170)+ROW()/10^7)</f>
        <v/>
      </c>
      <c r="AD170" s="51" t="str">
        <f aca="false">IF(A170="","",TEXT(A170,"0")&amp;"|"&amp;COUNTIFS('Content Log'!$A$5:$A$504,A170,'Content Log'!$AC$5:$AC$504,"&lt;="&amp;AC170))</f>
        <v/>
      </c>
      <c r="AE170" s="51" t="str">
        <f aca="false">IF(A170="","",IFERROR(INDEX(Setup!$N$9:$N$14,MATCH(O170,Setup!$M$9:$M$14,0))&amp;" ","")&amp;IF(C170="","",TEXT(C170,"h:mm AM/PM")&amp;" ")&amp;D170&amp;IF(H170="",""," · "&amp;H170))</f>
        <v/>
      </c>
      <c r="AF170" s="51" t="str">
        <f aca="false">IF(OR(A170="",AA170=""),"",IF(AND(A170&gt;=Dashboard!$G$4,A170&lt;=Dashboard!$I$4),AA170+ROW()/10^9,""))</f>
        <v/>
      </c>
      <c r="AG170" s="51" t="str">
        <f aca="false">IF(A170="","",WEEKDAY(A170,2))</f>
        <v/>
      </c>
    </row>
    <row r="171" customFormat="false" ht="15" hidden="false" customHeight="false" outlineLevel="0" collapsed="false">
      <c r="A171" s="43"/>
      <c r="B171" s="11" t="str">
        <f aca="false">IF(A171="","",TEXT(A171,"ddd"))</f>
        <v/>
      </c>
      <c r="C171" s="44"/>
      <c r="D171" s="16"/>
      <c r="E171" s="16"/>
      <c r="F171" s="16"/>
      <c r="G171" s="16"/>
      <c r="H171" s="45"/>
      <c r="I171" s="45"/>
      <c r="J171" s="11" t="str">
        <f aca="false">IF(I171="","",LEN(I171))</f>
        <v/>
      </c>
      <c r="K171" s="16"/>
      <c r="L171" s="16"/>
      <c r="M171" s="11" t="str">
        <f aca="false">IF(L171="","",IFERROR(INDEX('Hashtag Bank'!$E$5:$E$104,MATCH(L171,'Hashtag Bank'!$B$5:$B$104,0)),""))</f>
        <v/>
      </c>
      <c r="N171" s="16"/>
      <c r="O171" s="16"/>
      <c r="P171" s="16"/>
      <c r="Q171" s="46" t="str">
        <f aca="true">IF(A171&amp;H171="","",TRIM(IF(AND(A171&lt;&gt;"",A171&lt;TODAY(),O171&lt;&gt;"Published",O171&lt;&gt;"Repurpose"),"⚠ Overdue ","")&amp;IF(AND(J171&lt;&gt;"",D171&lt;&gt;"",IFERROR(J171&gt;INDEX(Setup!$E$9:$E$18,MATCH(D171,Setup!$B$9:$B$18,0)),FALSE())),"✂ Caption too long ","")&amp;IF(AND(M171&lt;&gt;"",D171&lt;&gt;"",IFERROR(M171&gt;INDEX(Setup!$F$9:$F$18,MATCH(D171,Setup!$B$9:$B$18,0)),FALSE())),"# Too many tags","")))</f>
        <v/>
      </c>
      <c r="R171" s="16"/>
      <c r="S171" s="19"/>
      <c r="T171" s="19"/>
      <c r="U171" s="19"/>
      <c r="V171" s="19"/>
      <c r="W171" s="19"/>
      <c r="X171" s="19"/>
      <c r="Y171" s="19"/>
      <c r="Z171" s="47" t="str">
        <f aca="false">IF(COUNT(U171:X171)=0,"",SUM(U171:X171))</f>
        <v/>
      </c>
      <c r="AA171" s="48" t="str">
        <f aca="false">IF(OR(Z171="",N(T171)=0),"",Z171/T171)</f>
        <v/>
      </c>
      <c r="AB171" s="45"/>
      <c r="AC171" s="51" t="str">
        <f aca="false">IF(A171="","",A171+N(C171)+ROW()/10^7)</f>
        <v/>
      </c>
      <c r="AD171" s="51" t="str">
        <f aca="false">IF(A171="","",TEXT(A171,"0")&amp;"|"&amp;COUNTIFS('Content Log'!$A$5:$A$504,A171,'Content Log'!$AC$5:$AC$504,"&lt;="&amp;AC171))</f>
        <v/>
      </c>
      <c r="AE171" s="51" t="str">
        <f aca="false">IF(A171="","",IFERROR(INDEX(Setup!$N$9:$N$14,MATCH(O171,Setup!$M$9:$M$14,0))&amp;" ","")&amp;IF(C171="","",TEXT(C171,"h:mm AM/PM")&amp;" ")&amp;D171&amp;IF(H171="",""," · "&amp;H171))</f>
        <v/>
      </c>
      <c r="AF171" s="51" t="str">
        <f aca="false">IF(OR(A171="",AA171=""),"",IF(AND(A171&gt;=Dashboard!$G$4,A171&lt;=Dashboard!$I$4),AA171+ROW()/10^9,""))</f>
        <v/>
      </c>
      <c r="AG171" s="51" t="str">
        <f aca="false">IF(A171="","",WEEKDAY(A171,2))</f>
        <v/>
      </c>
    </row>
    <row r="172" customFormat="false" ht="15" hidden="false" customHeight="false" outlineLevel="0" collapsed="false">
      <c r="A172" s="43"/>
      <c r="B172" s="11" t="str">
        <f aca="false">IF(A172="","",TEXT(A172,"ddd"))</f>
        <v/>
      </c>
      <c r="C172" s="44"/>
      <c r="D172" s="16"/>
      <c r="E172" s="16"/>
      <c r="F172" s="16"/>
      <c r="G172" s="16"/>
      <c r="H172" s="45"/>
      <c r="I172" s="45"/>
      <c r="J172" s="11" t="str">
        <f aca="false">IF(I172="","",LEN(I172))</f>
        <v/>
      </c>
      <c r="K172" s="16"/>
      <c r="L172" s="16"/>
      <c r="M172" s="11" t="str">
        <f aca="false">IF(L172="","",IFERROR(INDEX('Hashtag Bank'!$E$5:$E$104,MATCH(L172,'Hashtag Bank'!$B$5:$B$104,0)),""))</f>
        <v/>
      </c>
      <c r="N172" s="16"/>
      <c r="O172" s="16"/>
      <c r="P172" s="16"/>
      <c r="Q172" s="46" t="str">
        <f aca="true">IF(A172&amp;H172="","",TRIM(IF(AND(A172&lt;&gt;"",A172&lt;TODAY(),O172&lt;&gt;"Published",O172&lt;&gt;"Repurpose"),"⚠ Overdue ","")&amp;IF(AND(J172&lt;&gt;"",D172&lt;&gt;"",IFERROR(J172&gt;INDEX(Setup!$E$9:$E$18,MATCH(D172,Setup!$B$9:$B$18,0)),FALSE())),"✂ Caption too long ","")&amp;IF(AND(M172&lt;&gt;"",D172&lt;&gt;"",IFERROR(M172&gt;INDEX(Setup!$F$9:$F$18,MATCH(D172,Setup!$B$9:$B$18,0)),FALSE())),"# Too many tags","")))</f>
        <v/>
      </c>
      <c r="R172" s="16"/>
      <c r="S172" s="19"/>
      <c r="T172" s="19"/>
      <c r="U172" s="19"/>
      <c r="V172" s="19"/>
      <c r="W172" s="19"/>
      <c r="X172" s="19"/>
      <c r="Y172" s="19"/>
      <c r="Z172" s="47" t="str">
        <f aca="false">IF(COUNT(U172:X172)=0,"",SUM(U172:X172))</f>
        <v/>
      </c>
      <c r="AA172" s="48" t="str">
        <f aca="false">IF(OR(Z172="",N(T172)=0),"",Z172/T172)</f>
        <v/>
      </c>
      <c r="AB172" s="45"/>
      <c r="AC172" s="51" t="str">
        <f aca="false">IF(A172="","",A172+N(C172)+ROW()/10^7)</f>
        <v/>
      </c>
      <c r="AD172" s="51" t="str">
        <f aca="false">IF(A172="","",TEXT(A172,"0")&amp;"|"&amp;COUNTIFS('Content Log'!$A$5:$A$504,A172,'Content Log'!$AC$5:$AC$504,"&lt;="&amp;AC172))</f>
        <v/>
      </c>
      <c r="AE172" s="51" t="str">
        <f aca="false">IF(A172="","",IFERROR(INDEX(Setup!$N$9:$N$14,MATCH(O172,Setup!$M$9:$M$14,0))&amp;" ","")&amp;IF(C172="","",TEXT(C172,"h:mm AM/PM")&amp;" ")&amp;D172&amp;IF(H172="",""," · "&amp;H172))</f>
        <v/>
      </c>
      <c r="AF172" s="51" t="str">
        <f aca="false">IF(OR(A172="",AA172=""),"",IF(AND(A172&gt;=Dashboard!$G$4,A172&lt;=Dashboard!$I$4),AA172+ROW()/10^9,""))</f>
        <v/>
      </c>
      <c r="AG172" s="51" t="str">
        <f aca="false">IF(A172="","",WEEKDAY(A172,2))</f>
        <v/>
      </c>
    </row>
    <row r="173" customFormat="false" ht="15" hidden="false" customHeight="false" outlineLevel="0" collapsed="false">
      <c r="A173" s="43"/>
      <c r="B173" s="11" t="str">
        <f aca="false">IF(A173="","",TEXT(A173,"ddd"))</f>
        <v/>
      </c>
      <c r="C173" s="44"/>
      <c r="D173" s="16"/>
      <c r="E173" s="16"/>
      <c r="F173" s="16"/>
      <c r="G173" s="16"/>
      <c r="H173" s="45"/>
      <c r="I173" s="45"/>
      <c r="J173" s="11" t="str">
        <f aca="false">IF(I173="","",LEN(I173))</f>
        <v/>
      </c>
      <c r="K173" s="16"/>
      <c r="L173" s="16"/>
      <c r="M173" s="11" t="str">
        <f aca="false">IF(L173="","",IFERROR(INDEX('Hashtag Bank'!$E$5:$E$104,MATCH(L173,'Hashtag Bank'!$B$5:$B$104,0)),""))</f>
        <v/>
      </c>
      <c r="N173" s="16"/>
      <c r="O173" s="16"/>
      <c r="P173" s="16"/>
      <c r="Q173" s="46" t="str">
        <f aca="true">IF(A173&amp;H173="","",TRIM(IF(AND(A173&lt;&gt;"",A173&lt;TODAY(),O173&lt;&gt;"Published",O173&lt;&gt;"Repurpose"),"⚠ Overdue ","")&amp;IF(AND(J173&lt;&gt;"",D173&lt;&gt;"",IFERROR(J173&gt;INDEX(Setup!$E$9:$E$18,MATCH(D173,Setup!$B$9:$B$18,0)),FALSE())),"✂ Caption too long ","")&amp;IF(AND(M173&lt;&gt;"",D173&lt;&gt;"",IFERROR(M173&gt;INDEX(Setup!$F$9:$F$18,MATCH(D173,Setup!$B$9:$B$18,0)),FALSE())),"# Too many tags","")))</f>
        <v/>
      </c>
      <c r="R173" s="16"/>
      <c r="S173" s="19"/>
      <c r="T173" s="19"/>
      <c r="U173" s="19"/>
      <c r="V173" s="19"/>
      <c r="W173" s="19"/>
      <c r="X173" s="19"/>
      <c r="Y173" s="19"/>
      <c r="Z173" s="47" t="str">
        <f aca="false">IF(COUNT(U173:X173)=0,"",SUM(U173:X173))</f>
        <v/>
      </c>
      <c r="AA173" s="48" t="str">
        <f aca="false">IF(OR(Z173="",N(T173)=0),"",Z173/T173)</f>
        <v/>
      </c>
      <c r="AB173" s="45"/>
      <c r="AC173" s="51" t="str">
        <f aca="false">IF(A173="","",A173+N(C173)+ROW()/10^7)</f>
        <v/>
      </c>
      <c r="AD173" s="51" t="str">
        <f aca="false">IF(A173="","",TEXT(A173,"0")&amp;"|"&amp;COUNTIFS('Content Log'!$A$5:$A$504,A173,'Content Log'!$AC$5:$AC$504,"&lt;="&amp;AC173))</f>
        <v/>
      </c>
      <c r="AE173" s="51" t="str">
        <f aca="false">IF(A173="","",IFERROR(INDEX(Setup!$N$9:$N$14,MATCH(O173,Setup!$M$9:$M$14,0))&amp;" ","")&amp;IF(C173="","",TEXT(C173,"h:mm AM/PM")&amp;" ")&amp;D173&amp;IF(H173="",""," · "&amp;H173))</f>
        <v/>
      </c>
      <c r="AF173" s="51" t="str">
        <f aca="false">IF(OR(A173="",AA173=""),"",IF(AND(A173&gt;=Dashboard!$G$4,A173&lt;=Dashboard!$I$4),AA173+ROW()/10^9,""))</f>
        <v/>
      </c>
      <c r="AG173" s="51" t="str">
        <f aca="false">IF(A173="","",WEEKDAY(A173,2))</f>
        <v/>
      </c>
    </row>
    <row r="174" customFormat="false" ht="15" hidden="false" customHeight="false" outlineLevel="0" collapsed="false">
      <c r="A174" s="43"/>
      <c r="B174" s="11" t="str">
        <f aca="false">IF(A174="","",TEXT(A174,"ddd"))</f>
        <v/>
      </c>
      <c r="C174" s="44"/>
      <c r="D174" s="16"/>
      <c r="E174" s="16"/>
      <c r="F174" s="16"/>
      <c r="G174" s="16"/>
      <c r="H174" s="45"/>
      <c r="I174" s="45"/>
      <c r="J174" s="11" t="str">
        <f aca="false">IF(I174="","",LEN(I174))</f>
        <v/>
      </c>
      <c r="K174" s="16"/>
      <c r="L174" s="16"/>
      <c r="M174" s="11" t="str">
        <f aca="false">IF(L174="","",IFERROR(INDEX('Hashtag Bank'!$E$5:$E$104,MATCH(L174,'Hashtag Bank'!$B$5:$B$104,0)),""))</f>
        <v/>
      </c>
      <c r="N174" s="16"/>
      <c r="O174" s="16"/>
      <c r="P174" s="16"/>
      <c r="Q174" s="46" t="str">
        <f aca="true">IF(A174&amp;H174="","",TRIM(IF(AND(A174&lt;&gt;"",A174&lt;TODAY(),O174&lt;&gt;"Published",O174&lt;&gt;"Repurpose"),"⚠ Overdue ","")&amp;IF(AND(J174&lt;&gt;"",D174&lt;&gt;"",IFERROR(J174&gt;INDEX(Setup!$E$9:$E$18,MATCH(D174,Setup!$B$9:$B$18,0)),FALSE())),"✂ Caption too long ","")&amp;IF(AND(M174&lt;&gt;"",D174&lt;&gt;"",IFERROR(M174&gt;INDEX(Setup!$F$9:$F$18,MATCH(D174,Setup!$B$9:$B$18,0)),FALSE())),"# Too many tags","")))</f>
        <v/>
      </c>
      <c r="R174" s="16"/>
      <c r="S174" s="19"/>
      <c r="T174" s="19"/>
      <c r="U174" s="19"/>
      <c r="V174" s="19"/>
      <c r="W174" s="19"/>
      <c r="X174" s="19"/>
      <c r="Y174" s="19"/>
      <c r="Z174" s="47" t="str">
        <f aca="false">IF(COUNT(U174:X174)=0,"",SUM(U174:X174))</f>
        <v/>
      </c>
      <c r="AA174" s="48" t="str">
        <f aca="false">IF(OR(Z174="",N(T174)=0),"",Z174/T174)</f>
        <v/>
      </c>
      <c r="AB174" s="45"/>
      <c r="AC174" s="51" t="str">
        <f aca="false">IF(A174="","",A174+N(C174)+ROW()/10^7)</f>
        <v/>
      </c>
      <c r="AD174" s="51" t="str">
        <f aca="false">IF(A174="","",TEXT(A174,"0")&amp;"|"&amp;COUNTIFS('Content Log'!$A$5:$A$504,A174,'Content Log'!$AC$5:$AC$504,"&lt;="&amp;AC174))</f>
        <v/>
      </c>
      <c r="AE174" s="51" t="str">
        <f aca="false">IF(A174="","",IFERROR(INDEX(Setup!$N$9:$N$14,MATCH(O174,Setup!$M$9:$M$14,0))&amp;" ","")&amp;IF(C174="","",TEXT(C174,"h:mm AM/PM")&amp;" ")&amp;D174&amp;IF(H174="",""," · "&amp;H174))</f>
        <v/>
      </c>
      <c r="AF174" s="51" t="str">
        <f aca="false">IF(OR(A174="",AA174=""),"",IF(AND(A174&gt;=Dashboard!$G$4,A174&lt;=Dashboard!$I$4),AA174+ROW()/10^9,""))</f>
        <v/>
      </c>
      <c r="AG174" s="51" t="str">
        <f aca="false">IF(A174="","",WEEKDAY(A174,2))</f>
        <v/>
      </c>
    </row>
    <row r="175" customFormat="false" ht="15" hidden="false" customHeight="false" outlineLevel="0" collapsed="false">
      <c r="A175" s="43"/>
      <c r="B175" s="11" t="str">
        <f aca="false">IF(A175="","",TEXT(A175,"ddd"))</f>
        <v/>
      </c>
      <c r="C175" s="44"/>
      <c r="D175" s="16"/>
      <c r="E175" s="16"/>
      <c r="F175" s="16"/>
      <c r="G175" s="16"/>
      <c r="H175" s="45"/>
      <c r="I175" s="45"/>
      <c r="J175" s="11" t="str">
        <f aca="false">IF(I175="","",LEN(I175))</f>
        <v/>
      </c>
      <c r="K175" s="16"/>
      <c r="L175" s="16"/>
      <c r="M175" s="11" t="str">
        <f aca="false">IF(L175="","",IFERROR(INDEX('Hashtag Bank'!$E$5:$E$104,MATCH(L175,'Hashtag Bank'!$B$5:$B$104,0)),""))</f>
        <v/>
      </c>
      <c r="N175" s="16"/>
      <c r="O175" s="16"/>
      <c r="P175" s="16"/>
      <c r="Q175" s="46" t="str">
        <f aca="true">IF(A175&amp;H175="","",TRIM(IF(AND(A175&lt;&gt;"",A175&lt;TODAY(),O175&lt;&gt;"Published",O175&lt;&gt;"Repurpose"),"⚠ Overdue ","")&amp;IF(AND(J175&lt;&gt;"",D175&lt;&gt;"",IFERROR(J175&gt;INDEX(Setup!$E$9:$E$18,MATCH(D175,Setup!$B$9:$B$18,0)),FALSE())),"✂ Caption too long ","")&amp;IF(AND(M175&lt;&gt;"",D175&lt;&gt;"",IFERROR(M175&gt;INDEX(Setup!$F$9:$F$18,MATCH(D175,Setup!$B$9:$B$18,0)),FALSE())),"# Too many tags","")))</f>
        <v/>
      </c>
      <c r="R175" s="16"/>
      <c r="S175" s="19"/>
      <c r="T175" s="19"/>
      <c r="U175" s="19"/>
      <c r="V175" s="19"/>
      <c r="W175" s="19"/>
      <c r="X175" s="19"/>
      <c r="Y175" s="19"/>
      <c r="Z175" s="47" t="str">
        <f aca="false">IF(COUNT(U175:X175)=0,"",SUM(U175:X175))</f>
        <v/>
      </c>
      <c r="AA175" s="48" t="str">
        <f aca="false">IF(OR(Z175="",N(T175)=0),"",Z175/T175)</f>
        <v/>
      </c>
      <c r="AB175" s="45"/>
      <c r="AC175" s="51" t="str">
        <f aca="false">IF(A175="","",A175+N(C175)+ROW()/10^7)</f>
        <v/>
      </c>
      <c r="AD175" s="51" t="str">
        <f aca="false">IF(A175="","",TEXT(A175,"0")&amp;"|"&amp;COUNTIFS('Content Log'!$A$5:$A$504,A175,'Content Log'!$AC$5:$AC$504,"&lt;="&amp;AC175))</f>
        <v/>
      </c>
      <c r="AE175" s="51" t="str">
        <f aca="false">IF(A175="","",IFERROR(INDEX(Setup!$N$9:$N$14,MATCH(O175,Setup!$M$9:$M$14,0))&amp;" ","")&amp;IF(C175="","",TEXT(C175,"h:mm AM/PM")&amp;" ")&amp;D175&amp;IF(H175="",""," · "&amp;H175))</f>
        <v/>
      </c>
      <c r="AF175" s="51" t="str">
        <f aca="false">IF(OR(A175="",AA175=""),"",IF(AND(A175&gt;=Dashboard!$G$4,A175&lt;=Dashboard!$I$4),AA175+ROW()/10^9,""))</f>
        <v/>
      </c>
      <c r="AG175" s="51" t="str">
        <f aca="false">IF(A175="","",WEEKDAY(A175,2))</f>
        <v/>
      </c>
    </row>
    <row r="176" customFormat="false" ht="15" hidden="false" customHeight="false" outlineLevel="0" collapsed="false">
      <c r="A176" s="43"/>
      <c r="B176" s="11" t="str">
        <f aca="false">IF(A176="","",TEXT(A176,"ddd"))</f>
        <v/>
      </c>
      <c r="C176" s="44"/>
      <c r="D176" s="16"/>
      <c r="E176" s="16"/>
      <c r="F176" s="16"/>
      <c r="G176" s="16"/>
      <c r="H176" s="45"/>
      <c r="I176" s="45"/>
      <c r="J176" s="11" t="str">
        <f aca="false">IF(I176="","",LEN(I176))</f>
        <v/>
      </c>
      <c r="K176" s="16"/>
      <c r="L176" s="16"/>
      <c r="M176" s="11" t="str">
        <f aca="false">IF(L176="","",IFERROR(INDEX('Hashtag Bank'!$E$5:$E$104,MATCH(L176,'Hashtag Bank'!$B$5:$B$104,0)),""))</f>
        <v/>
      </c>
      <c r="N176" s="16"/>
      <c r="O176" s="16"/>
      <c r="P176" s="16"/>
      <c r="Q176" s="46" t="str">
        <f aca="true">IF(A176&amp;H176="","",TRIM(IF(AND(A176&lt;&gt;"",A176&lt;TODAY(),O176&lt;&gt;"Published",O176&lt;&gt;"Repurpose"),"⚠ Overdue ","")&amp;IF(AND(J176&lt;&gt;"",D176&lt;&gt;"",IFERROR(J176&gt;INDEX(Setup!$E$9:$E$18,MATCH(D176,Setup!$B$9:$B$18,0)),FALSE())),"✂ Caption too long ","")&amp;IF(AND(M176&lt;&gt;"",D176&lt;&gt;"",IFERROR(M176&gt;INDEX(Setup!$F$9:$F$18,MATCH(D176,Setup!$B$9:$B$18,0)),FALSE())),"# Too many tags","")))</f>
        <v/>
      </c>
      <c r="R176" s="16"/>
      <c r="S176" s="19"/>
      <c r="T176" s="19"/>
      <c r="U176" s="19"/>
      <c r="V176" s="19"/>
      <c r="W176" s="19"/>
      <c r="X176" s="19"/>
      <c r="Y176" s="19"/>
      <c r="Z176" s="47" t="str">
        <f aca="false">IF(COUNT(U176:X176)=0,"",SUM(U176:X176))</f>
        <v/>
      </c>
      <c r="AA176" s="48" t="str">
        <f aca="false">IF(OR(Z176="",N(T176)=0),"",Z176/T176)</f>
        <v/>
      </c>
      <c r="AB176" s="45"/>
      <c r="AC176" s="51" t="str">
        <f aca="false">IF(A176="","",A176+N(C176)+ROW()/10^7)</f>
        <v/>
      </c>
      <c r="AD176" s="51" t="str">
        <f aca="false">IF(A176="","",TEXT(A176,"0")&amp;"|"&amp;COUNTIFS('Content Log'!$A$5:$A$504,A176,'Content Log'!$AC$5:$AC$504,"&lt;="&amp;AC176))</f>
        <v/>
      </c>
      <c r="AE176" s="51" t="str">
        <f aca="false">IF(A176="","",IFERROR(INDEX(Setup!$N$9:$N$14,MATCH(O176,Setup!$M$9:$M$14,0))&amp;" ","")&amp;IF(C176="","",TEXT(C176,"h:mm AM/PM")&amp;" ")&amp;D176&amp;IF(H176="",""," · "&amp;H176))</f>
        <v/>
      </c>
      <c r="AF176" s="51" t="str">
        <f aca="false">IF(OR(A176="",AA176=""),"",IF(AND(A176&gt;=Dashboard!$G$4,A176&lt;=Dashboard!$I$4),AA176+ROW()/10^9,""))</f>
        <v/>
      </c>
      <c r="AG176" s="51" t="str">
        <f aca="false">IF(A176="","",WEEKDAY(A176,2))</f>
        <v/>
      </c>
    </row>
    <row r="177" customFormat="false" ht="15" hidden="false" customHeight="false" outlineLevel="0" collapsed="false">
      <c r="A177" s="43"/>
      <c r="B177" s="11" t="str">
        <f aca="false">IF(A177="","",TEXT(A177,"ddd"))</f>
        <v/>
      </c>
      <c r="C177" s="44"/>
      <c r="D177" s="16"/>
      <c r="E177" s="16"/>
      <c r="F177" s="16"/>
      <c r="G177" s="16"/>
      <c r="H177" s="45"/>
      <c r="I177" s="45"/>
      <c r="J177" s="11" t="str">
        <f aca="false">IF(I177="","",LEN(I177))</f>
        <v/>
      </c>
      <c r="K177" s="16"/>
      <c r="L177" s="16"/>
      <c r="M177" s="11" t="str">
        <f aca="false">IF(L177="","",IFERROR(INDEX('Hashtag Bank'!$E$5:$E$104,MATCH(L177,'Hashtag Bank'!$B$5:$B$104,0)),""))</f>
        <v/>
      </c>
      <c r="N177" s="16"/>
      <c r="O177" s="16"/>
      <c r="P177" s="16"/>
      <c r="Q177" s="46" t="str">
        <f aca="true">IF(A177&amp;H177="","",TRIM(IF(AND(A177&lt;&gt;"",A177&lt;TODAY(),O177&lt;&gt;"Published",O177&lt;&gt;"Repurpose"),"⚠ Overdue ","")&amp;IF(AND(J177&lt;&gt;"",D177&lt;&gt;"",IFERROR(J177&gt;INDEX(Setup!$E$9:$E$18,MATCH(D177,Setup!$B$9:$B$18,0)),FALSE())),"✂ Caption too long ","")&amp;IF(AND(M177&lt;&gt;"",D177&lt;&gt;"",IFERROR(M177&gt;INDEX(Setup!$F$9:$F$18,MATCH(D177,Setup!$B$9:$B$18,0)),FALSE())),"# Too many tags","")))</f>
        <v/>
      </c>
      <c r="R177" s="16"/>
      <c r="S177" s="19"/>
      <c r="T177" s="19"/>
      <c r="U177" s="19"/>
      <c r="V177" s="19"/>
      <c r="W177" s="19"/>
      <c r="X177" s="19"/>
      <c r="Y177" s="19"/>
      <c r="Z177" s="47" t="str">
        <f aca="false">IF(COUNT(U177:X177)=0,"",SUM(U177:X177))</f>
        <v/>
      </c>
      <c r="AA177" s="48" t="str">
        <f aca="false">IF(OR(Z177="",N(T177)=0),"",Z177/T177)</f>
        <v/>
      </c>
      <c r="AB177" s="45"/>
      <c r="AC177" s="51" t="str">
        <f aca="false">IF(A177="","",A177+N(C177)+ROW()/10^7)</f>
        <v/>
      </c>
      <c r="AD177" s="51" t="str">
        <f aca="false">IF(A177="","",TEXT(A177,"0")&amp;"|"&amp;COUNTIFS('Content Log'!$A$5:$A$504,A177,'Content Log'!$AC$5:$AC$504,"&lt;="&amp;AC177))</f>
        <v/>
      </c>
      <c r="AE177" s="51" t="str">
        <f aca="false">IF(A177="","",IFERROR(INDEX(Setup!$N$9:$N$14,MATCH(O177,Setup!$M$9:$M$14,0))&amp;" ","")&amp;IF(C177="","",TEXT(C177,"h:mm AM/PM")&amp;" ")&amp;D177&amp;IF(H177="",""," · "&amp;H177))</f>
        <v/>
      </c>
      <c r="AF177" s="51" t="str">
        <f aca="false">IF(OR(A177="",AA177=""),"",IF(AND(A177&gt;=Dashboard!$G$4,A177&lt;=Dashboard!$I$4),AA177+ROW()/10^9,""))</f>
        <v/>
      </c>
      <c r="AG177" s="51" t="str">
        <f aca="false">IF(A177="","",WEEKDAY(A177,2))</f>
        <v/>
      </c>
    </row>
    <row r="178" customFormat="false" ht="15" hidden="false" customHeight="false" outlineLevel="0" collapsed="false">
      <c r="A178" s="43"/>
      <c r="B178" s="11" t="str">
        <f aca="false">IF(A178="","",TEXT(A178,"ddd"))</f>
        <v/>
      </c>
      <c r="C178" s="44"/>
      <c r="D178" s="16"/>
      <c r="E178" s="16"/>
      <c r="F178" s="16"/>
      <c r="G178" s="16"/>
      <c r="H178" s="45"/>
      <c r="I178" s="45"/>
      <c r="J178" s="11" t="str">
        <f aca="false">IF(I178="","",LEN(I178))</f>
        <v/>
      </c>
      <c r="K178" s="16"/>
      <c r="L178" s="16"/>
      <c r="M178" s="11" t="str">
        <f aca="false">IF(L178="","",IFERROR(INDEX('Hashtag Bank'!$E$5:$E$104,MATCH(L178,'Hashtag Bank'!$B$5:$B$104,0)),""))</f>
        <v/>
      </c>
      <c r="N178" s="16"/>
      <c r="O178" s="16"/>
      <c r="P178" s="16"/>
      <c r="Q178" s="46" t="str">
        <f aca="true">IF(A178&amp;H178="","",TRIM(IF(AND(A178&lt;&gt;"",A178&lt;TODAY(),O178&lt;&gt;"Published",O178&lt;&gt;"Repurpose"),"⚠ Overdue ","")&amp;IF(AND(J178&lt;&gt;"",D178&lt;&gt;"",IFERROR(J178&gt;INDEX(Setup!$E$9:$E$18,MATCH(D178,Setup!$B$9:$B$18,0)),FALSE())),"✂ Caption too long ","")&amp;IF(AND(M178&lt;&gt;"",D178&lt;&gt;"",IFERROR(M178&gt;INDEX(Setup!$F$9:$F$18,MATCH(D178,Setup!$B$9:$B$18,0)),FALSE())),"# Too many tags","")))</f>
        <v/>
      </c>
      <c r="R178" s="16"/>
      <c r="S178" s="19"/>
      <c r="T178" s="19"/>
      <c r="U178" s="19"/>
      <c r="V178" s="19"/>
      <c r="W178" s="19"/>
      <c r="X178" s="19"/>
      <c r="Y178" s="19"/>
      <c r="Z178" s="47" t="str">
        <f aca="false">IF(COUNT(U178:X178)=0,"",SUM(U178:X178))</f>
        <v/>
      </c>
      <c r="AA178" s="48" t="str">
        <f aca="false">IF(OR(Z178="",N(T178)=0),"",Z178/T178)</f>
        <v/>
      </c>
      <c r="AB178" s="45"/>
      <c r="AC178" s="51" t="str">
        <f aca="false">IF(A178="","",A178+N(C178)+ROW()/10^7)</f>
        <v/>
      </c>
      <c r="AD178" s="51" t="str">
        <f aca="false">IF(A178="","",TEXT(A178,"0")&amp;"|"&amp;COUNTIFS('Content Log'!$A$5:$A$504,A178,'Content Log'!$AC$5:$AC$504,"&lt;="&amp;AC178))</f>
        <v/>
      </c>
      <c r="AE178" s="51" t="str">
        <f aca="false">IF(A178="","",IFERROR(INDEX(Setup!$N$9:$N$14,MATCH(O178,Setup!$M$9:$M$14,0))&amp;" ","")&amp;IF(C178="","",TEXT(C178,"h:mm AM/PM")&amp;" ")&amp;D178&amp;IF(H178="",""," · "&amp;H178))</f>
        <v/>
      </c>
      <c r="AF178" s="51" t="str">
        <f aca="false">IF(OR(A178="",AA178=""),"",IF(AND(A178&gt;=Dashboard!$G$4,A178&lt;=Dashboard!$I$4),AA178+ROW()/10^9,""))</f>
        <v/>
      </c>
      <c r="AG178" s="51" t="str">
        <f aca="false">IF(A178="","",WEEKDAY(A178,2))</f>
        <v/>
      </c>
    </row>
    <row r="179" customFormat="false" ht="15" hidden="false" customHeight="false" outlineLevel="0" collapsed="false">
      <c r="A179" s="43"/>
      <c r="B179" s="11" t="str">
        <f aca="false">IF(A179="","",TEXT(A179,"ddd"))</f>
        <v/>
      </c>
      <c r="C179" s="44"/>
      <c r="D179" s="16"/>
      <c r="E179" s="16"/>
      <c r="F179" s="16"/>
      <c r="G179" s="16"/>
      <c r="H179" s="45"/>
      <c r="I179" s="45"/>
      <c r="J179" s="11" t="str">
        <f aca="false">IF(I179="","",LEN(I179))</f>
        <v/>
      </c>
      <c r="K179" s="16"/>
      <c r="L179" s="16"/>
      <c r="M179" s="11" t="str">
        <f aca="false">IF(L179="","",IFERROR(INDEX('Hashtag Bank'!$E$5:$E$104,MATCH(L179,'Hashtag Bank'!$B$5:$B$104,0)),""))</f>
        <v/>
      </c>
      <c r="N179" s="16"/>
      <c r="O179" s="16"/>
      <c r="P179" s="16"/>
      <c r="Q179" s="46" t="str">
        <f aca="true">IF(A179&amp;H179="","",TRIM(IF(AND(A179&lt;&gt;"",A179&lt;TODAY(),O179&lt;&gt;"Published",O179&lt;&gt;"Repurpose"),"⚠ Overdue ","")&amp;IF(AND(J179&lt;&gt;"",D179&lt;&gt;"",IFERROR(J179&gt;INDEX(Setup!$E$9:$E$18,MATCH(D179,Setup!$B$9:$B$18,0)),FALSE())),"✂ Caption too long ","")&amp;IF(AND(M179&lt;&gt;"",D179&lt;&gt;"",IFERROR(M179&gt;INDEX(Setup!$F$9:$F$18,MATCH(D179,Setup!$B$9:$B$18,0)),FALSE())),"# Too many tags","")))</f>
        <v/>
      </c>
      <c r="R179" s="16"/>
      <c r="S179" s="19"/>
      <c r="T179" s="19"/>
      <c r="U179" s="19"/>
      <c r="V179" s="19"/>
      <c r="W179" s="19"/>
      <c r="X179" s="19"/>
      <c r="Y179" s="19"/>
      <c r="Z179" s="47" t="str">
        <f aca="false">IF(COUNT(U179:X179)=0,"",SUM(U179:X179))</f>
        <v/>
      </c>
      <c r="AA179" s="48" t="str">
        <f aca="false">IF(OR(Z179="",N(T179)=0),"",Z179/T179)</f>
        <v/>
      </c>
      <c r="AB179" s="45"/>
      <c r="AC179" s="51" t="str">
        <f aca="false">IF(A179="","",A179+N(C179)+ROW()/10^7)</f>
        <v/>
      </c>
      <c r="AD179" s="51" t="str">
        <f aca="false">IF(A179="","",TEXT(A179,"0")&amp;"|"&amp;COUNTIFS('Content Log'!$A$5:$A$504,A179,'Content Log'!$AC$5:$AC$504,"&lt;="&amp;AC179))</f>
        <v/>
      </c>
      <c r="AE179" s="51" t="str">
        <f aca="false">IF(A179="","",IFERROR(INDEX(Setup!$N$9:$N$14,MATCH(O179,Setup!$M$9:$M$14,0))&amp;" ","")&amp;IF(C179="","",TEXT(C179,"h:mm AM/PM")&amp;" ")&amp;D179&amp;IF(H179="",""," · "&amp;H179))</f>
        <v/>
      </c>
      <c r="AF179" s="51" t="str">
        <f aca="false">IF(OR(A179="",AA179=""),"",IF(AND(A179&gt;=Dashboard!$G$4,A179&lt;=Dashboard!$I$4),AA179+ROW()/10^9,""))</f>
        <v/>
      </c>
      <c r="AG179" s="51" t="str">
        <f aca="false">IF(A179="","",WEEKDAY(A179,2))</f>
        <v/>
      </c>
    </row>
    <row r="180" customFormat="false" ht="15" hidden="false" customHeight="false" outlineLevel="0" collapsed="false">
      <c r="A180" s="43"/>
      <c r="B180" s="11" t="str">
        <f aca="false">IF(A180="","",TEXT(A180,"ddd"))</f>
        <v/>
      </c>
      <c r="C180" s="44"/>
      <c r="D180" s="16"/>
      <c r="E180" s="16"/>
      <c r="F180" s="16"/>
      <c r="G180" s="16"/>
      <c r="H180" s="45"/>
      <c r="I180" s="45"/>
      <c r="J180" s="11" t="str">
        <f aca="false">IF(I180="","",LEN(I180))</f>
        <v/>
      </c>
      <c r="K180" s="16"/>
      <c r="L180" s="16"/>
      <c r="M180" s="11" t="str">
        <f aca="false">IF(L180="","",IFERROR(INDEX('Hashtag Bank'!$E$5:$E$104,MATCH(L180,'Hashtag Bank'!$B$5:$B$104,0)),""))</f>
        <v/>
      </c>
      <c r="N180" s="16"/>
      <c r="O180" s="16"/>
      <c r="P180" s="16"/>
      <c r="Q180" s="46" t="str">
        <f aca="true">IF(A180&amp;H180="","",TRIM(IF(AND(A180&lt;&gt;"",A180&lt;TODAY(),O180&lt;&gt;"Published",O180&lt;&gt;"Repurpose"),"⚠ Overdue ","")&amp;IF(AND(J180&lt;&gt;"",D180&lt;&gt;"",IFERROR(J180&gt;INDEX(Setup!$E$9:$E$18,MATCH(D180,Setup!$B$9:$B$18,0)),FALSE())),"✂ Caption too long ","")&amp;IF(AND(M180&lt;&gt;"",D180&lt;&gt;"",IFERROR(M180&gt;INDEX(Setup!$F$9:$F$18,MATCH(D180,Setup!$B$9:$B$18,0)),FALSE())),"# Too many tags","")))</f>
        <v/>
      </c>
      <c r="R180" s="16"/>
      <c r="S180" s="19"/>
      <c r="T180" s="19"/>
      <c r="U180" s="19"/>
      <c r="V180" s="19"/>
      <c r="W180" s="19"/>
      <c r="X180" s="19"/>
      <c r="Y180" s="19"/>
      <c r="Z180" s="47" t="str">
        <f aca="false">IF(COUNT(U180:X180)=0,"",SUM(U180:X180))</f>
        <v/>
      </c>
      <c r="AA180" s="48" t="str">
        <f aca="false">IF(OR(Z180="",N(T180)=0),"",Z180/T180)</f>
        <v/>
      </c>
      <c r="AB180" s="45"/>
      <c r="AC180" s="51" t="str">
        <f aca="false">IF(A180="","",A180+N(C180)+ROW()/10^7)</f>
        <v/>
      </c>
      <c r="AD180" s="51" t="str">
        <f aca="false">IF(A180="","",TEXT(A180,"0")&amp;"|"&amp;COUNTIFS('Content Log'!$A$5:$A$504,A180,'Content Log'!$AC$5:$AC$504,"&lt;="&amp;AC180))</f>
        <v/>
      </c>
      <c r="AE180" s="51" t="str">
        <f aca="false">IF(A180="","",IFERROR(INDEX(Setup!$N$9:$N$14,MATCH(O180,Setup!$M$9:$M$14,0))&amp;" ","")&amp;IF(C180="","",TEXT(C180,"h:mm AM/PM")&amp;" ")&amp;D180&amp;IF(H180="",""," · "&amp;H180))</f>
        <v/>
      </c>
      <c r="AF180" s="51" t="str">
        <f aca="false">IF(OR(A180="",AA180=""),"",IF(AND(A180&gt;=Dashboard!$G$4,A180&lt;=Dashboard!$I$4),AA180+ROW()/10^9,""))</f>
        <v/>
      </c>
      <c r="AG180" s="51" t="str">
        <f aca="false">IF(A180="","",WEEKDAY(A180,2))</f>
        <v/>
      </c>
    </row>
    <row r="181" customFormat="false" ht="15" hidden="false" customHeight="false" outlineLevel="0" collapsed="false">
      <c r="A181" s="43"/>
      <c r="B181" s="11" t="str">
        <f aca="false">IF(A181="","",TEXT(A181,"ddd"))</f>
        <v/>
      </c>
      <c r="C181" s="44"/>
      <c r="D181" s="16"/>
      <c r="E181" s="16"/>
      <c r="F181" s="16"/>
      <c r="G181" s="16"/>
      <c r="H181" s="45"/>
      <c r="I181" s="45"/>
      <c r="J181" s="11" t="str">
        <f aca="false">IF(I181="","",LEN(I181))</f>
        <v/>
      </c>
      <c r="K181" s="16"/>
      <c r="L181" s="16"/>
      <c r="M181" s="11" t="str">
        <f aca="false">IF(L181="","",IFERROR(INDEX('Hashtag Bank'!$E$5:$E$104,MATCH(L181,'Hashtag Bank'!$B$5:$B$104,0)),""))</f>
        <v/>
      </c>
      <c r="N181" s="16"/>
      <c r="O181" s="16"/>
      <c r="P181" s="16"/>
      <c r="Q181" s="46" t="str">
        <f aca="true">IF(A181&amp;H181="","",TRIM(IF(AND(A181&lt;&gt;"",A181&lt;TODAY(),O181&lt;&gt;"Published",O181&lt;&gt;"Repurpose"),"⚠ Overdue ","")&amp;IF(AND(J181&lt;&gt;"",D181&lt;&gt;"",IFERROR(J181&gt;INDEX(Setup!$E$9:$E$18,MATCH(D181,Setup!$B$9:$B$18,0)),FALSE())),"✂ Caption too long ","")&amp;IF(AND(M181&lt;&gt;"",D181&lt;&gt;"",IFERROR(M181&gt;INDEX(Setup!$F$9:$F$18,MATCH(D181,Setup!$B$9:$B$18,0)),FALSE())),"# Too many tags","")))</f>
        <v/>
      </c>
      <c r="R181" s="16"/>
      <c r="S181" s="19"/>
      <c r="T181" s="19"/>
      <c r="U181" s="19"/>
      <c r="V181" s="19"/>
      <c r="W181" s="19"/>
      <c r="X181" s="19"/>
      <c r="Y181" s="19"/>
      <c r="Z181" s="47" t="str">
        <f aca="false">IF(COUNT(U181:X181)=0,"",SUM(U181:X181))</f>
        <v/>
      </c>
      <c r="AA181" s="48" t="str">
        <f aca="false">IF(OR(Z181="",N(T181)=0),"",Z181/T181)</f>
        <v/>
      </c>
      <c r="AB181" s="45"/>
      <c r="AC181" s="51" t="str">
        <f aca="false">IF(A181="","",A181+N(C181)+ROW()/10^7)</f>
        <v/>
      </c>
      <c r="AD181" s="51" t="str">
        <f aca="false">IF(A181="","",TEXT(A181,"0")&amp;"|"&amp;COUNTIFS('Content Log'!$A$5:$A$504,A181,'Content Log'!$AC$5:$AC$504,"&lt;="&amp;AC181))</f>
        <v/>
      </c>
      <c r="AE181" s="51" t="str">
        <f aca="false">IF(A181="","",IFERROR(INDEX(Setup!$N$9:$N$14,MATCH(O181,Setup!$M$9:$M$14,0))&amp;" ","")&amp;IF(C181="","",TEXT(C181,"h:mm AM/PM")&amp;" ")&amp;D181&amp;IF(H181="",""," · "&amp;H181))</f>
        <v/>
      </c>
      <c r="AF181" s="51" t="str">
        <f aca="false">IF(OR(A181="",AA181=""),"",IF(AND(A181&gt;=Dashboard!$G$4,A181&lt;=Dashboard!$I$4),AA181+ROW()/10^9,""))</f>
        <v/>
      </c>
      <c r="AG181" s="51" t="str">
        <f aca="false">IF(A181="","",WEEKDAY(A181,2))</f>
        <v/>
      </c>
    </row>
    <row r="182" customFormat="false" ht="15" hidden="false" customHeight="false" outlineLevel="0" collapsed="false">
      <c r="A182" s="43"/>
      <c r="B182" s="11" t="str">
        <f aca="false">IF(A182="","",TEXT(A182,"ddd"))</f>
        <v/>
      </c>
      <c r="C182" s="44"/>
      <c r="D182" s="16"/>
      <c r="E182" s="16"/>
      <c r="F182" s="16"/>
      <c r="G182" s="16"/>
      <c r="H182" s="45"/>
      <c r="I182" s="45"/>
      <c r="J182" s="11" t="str">
        <f aca="false">IF(I182="","",LEN(I182))</f>
        <v/>
      </c>
      <c r="K182" s="16"/>
      <c r="L182" s="16"/>
      <c r="M182" s="11" t="str">
        <f aca="false">IF(L182="","",IFERROR(INDEX('Hashtag Bank'!$E$5:$E$104,MATCH(L182,'Hashtag Bank'!$B$5:$B$104,0)),""))</f>
        <v/>
      </c>
      <c r="N182" s="16"/>
      <c r="O182" s="16"/>
      <c r="P182" s="16"/>
      <c r="Q182" s="46" t="str">
        <f aca="true">IF(A182&amp;H182="","",TRIM(IF(AND(A182&lt;&gt;"",A182&lt;TODAY(),O182&lt;&gt;"Published",O182&lt;&gt;"Repurpose"),"⚠ Overdue ","")&amp;IF(AND(J182&lt;&gt;"",D182&lt;&gt;"",IFERROR(J182&gt;INDEX(Setup!$E$9:$E$18,MATCH(D182,Setup!$B$9:$B$18,0)),FALSE())),"✂ Caption too long ","")&amp;IF(AND(M182&lt;&gt;"",D182&lt;&gt;"",IFERROR(M182&gt;INDEX(Setup!$F$9:$F$18,MATCH(D182,Setup!$B$9:$B$18,0)),FALSE())),"# Too many tags","")))</f>
        <v/>
      </c>
      <c r="R182" s="16"/>
      <c r="S182" s="19"/>
      <c r="T182" s="19"/>
      <c r="U182" s="19"/>
      <c r="V182" s="19"/>
      <c r="W182" s="19"/>
      <c r="X182" s="19"/>
      <c r="Y182" s="19"/>
      <c r="Z182" s="47" t="str">
        <f aca="false">IF(COUNT(U182:X182)=0,"",SUM(U182:X182))</f>
        <v/>
      </c>
      <c r="AA182" s="48" t="str">
        <f aca="false">IF(OR(Z182="",N(T182)=0),"",Z182/T182)</f>
        <v/>
      </c>
      <c r="AB182" s="45"/>
      <c r="AC182" s="51" t="str">
        <f aca="false">IF(A182="","",A182+N(C182)+ROW()/10^7)</f>
        <v/>
      </c>
      <c r="AD182" s="51" t="str">
        <f aca="false">IF(A182="","",TEXT(A182,"0")&amp;"|"&amp;COUNTIFS('Content Log'!$A$5:$A$504,A182,'Content Log'!$AC$5:$AC$504,"&lt;="&amp;AC182))</f>
        <v/>
      </c>
      <c r="AE182" s="51" t="str">
        <f aca="false">IF(A182="","",IFERROR(INDEX(Setup!$N$9:$N$14,MATCH(O182,Setup!$M$9:$M$14,0))&amp;" ","")&amp;IF(C182="","",TEXT(C182,"h:mm AM/PM")&amp;" ")&amp;D182&amp;IF(H182="",""," · "&amp;H182))</f>
        <v/>
      </c>
      <c r="AF182" s="51" t="str">
        <f aca="false">IF(OR(A182="",AA182=""),"",IF(AND(A182&gt;=Dashboard!$G$4,A182&lt;=Dashboard!$I$4),AA182+ROW()/10^9,""))</f>
        <v/>
      </c>
      <c r="AG182" s="51" t="str">
        <f aca="false">IF(A182="","",WEEKDAY(A182,2))</f>
        <v/>
      </c>
    </row>
    <row r="183" customFormat="false" ht="15" hidden="false" customHeight="false" outlineLevel="0" collapsed="false">
      <c r="A183" s="43"/>
      <c r="B183" s="11" t="str">
        <f aca="false">IF(A183="","",TEXT(A183,"ddd"))</f>
        <v/>
      </c>
      <c r="C183" s="44"/>
      <c r="D183" s="16"/>
      <c r="E183" s="16"/>
      <c r="F183" s="16"/>
      <c r="G183" s="16"/>
      <c r="H183" s="45"/>
      <c r="I183" s="45"/>
      <c r="J183" s="11" t="str">
        <f aca="false">IF(I183="","",LEN(I183))</f>
        <v/>
      </c>
      <c r="K183" s="16"/>
      <c r="L183" s="16"/>
      <c r="M183" s="11" t="str">
        <f aca="false">IF(L183="","",IFERROR(INDEX('Hashtag Bank'!$E$5:$E$104,MATCH(L183,'Hashtag Bank'!$B$5:$B$104,0)),""))</f>
        <v/>
      </c>
      <c r="N183" s="16"/>
      <c r="O183" s="16"/>
      <c r="P183" s="16"/>
      <c r="Q183" s="46" t="str">
        <f aca="true">IF(A183&amp;H183="","",TRIM(IF(AND(A183&lt;&gt;"",A183&lt;TODAY(),O183&lt;&gt;"Published",O183&lt;&gt;"Repurpose"),"⚠ Overdue ","")&amp;IF(AND(J183&lt;&gt;"",D183&lt;&gt;"",IFERROR(J183&gt;INDEX(Setup!$E$9:$E$18,MATCH(D183,Setup!$B$9:$B$18,0)),FALSE())),"✂ Caption too long ","")&amp;IF(AND(M183&lt;&gt;"",D183&lt;&gt;"",IFERROR(M183&gt;INDEX(Setup!$F$9:$F$18,MATCH(D183,Setup!$B$9:$B$18,0)),FALSE())),"# Too many tags","")))</f>
        <v/>
      </c>
      <c r="R183" s="16"/>
      <c r="S183" s="19"/>
      <c r="T183" s="19"/>
      <c r="U183" s="19"/>
      <c r="V183" s="19"/>
      <c r="W183" s="19"/>
      <c r="X183" s="19"/>
      <c r="Y183" s="19"/>
      <c r="Z183" s="47" t="str">
        <f aca="false">IF(COUNT(U183:X183)=0,"",SUM(U183:X183))</f>
        <v/>
      </c>
      <c r="AA183" s="48" t="str">
        <f aca="false">IF(OR(Z183="",N(T183)=0),"",Z183/T183)</f>
        <v/>
      </c>
      <c r="AB183" s="45"/>
      <c r="AC183" s="51" t="str">
        <f aca="false">IF(A183="","",A183+N(C183)+ROW()/10^7)</f>
        <v/>
      </c>
      <c r="AD183" s="51" t="str">
        <f aca="false">IF(A183="","",TEXT(A183,"0")&amp;"|"&amp;COUNTIFS('Content Log'!$A$5:$A$504,A183,'Content Log'!$AC$5:$AC$504,"&lt;="&amp;AC183))</f>
        <v/>
      </c>
      <c r="AE183" s="51" t="str">
        <f aca="false">IF(A183="","",IFERROR(INDEX(Setup!$N$9:$N$14,MATCH(O183,Setup!$M$9:$M$14,0))&amp;" ","")&amp;IF(C183="","",TEXT(C183,"h:mm AM/PM")&amp;" ")&amp;D183&amp;IF(H183="",""," · "&amp;H183))</f>
        <v/>
      </c>
      <c r="AF183" s="51" t="str">
        <f aca="false">IF(OR(A183="",AA183=""),"",IF(AND(A183&gt;=Dashboard!$G$4,A183&lt;=Dashboard!$I$4),AA183+ROW()/10^9,""))</f>
        <v/>
      </c>
      <c r="AG183" s="51" t="str">
        <f aca="false">IF(A183="","",WEEKDAY(A183,2))</f>
        <v/>
      </c>
    </row>
    <row r="184" customFormat="false" ht="15" hidden="false" customHeight="false" outlineLevel="0" collapsed="false">
      <c r="A184" s="43"/>
      <c r="B184" s="11" t="str">
        <f aca="false">IF(A184="","",TEXT(A184,"ddd"))</f>
        <v/>
      </c>
      <c r="C184" s="44"/>
      <c r="D184" s="16"/>
      <c r="E184" s="16"/>
      <c r="F184" s="16"/>
      <c r="G184" s="16"/>
      <c r="H184" s="45"/>
      <c r="I184" s="45"/>
      <c r="J184" s="11" t="str">
        <f aca="false">IF(I184="","",LEN(I184))</f>
        <v/>
      </c>
      <c r="K184" s="16"/>
      <c r="L184" s="16"/>
      <c r="M184" s="11" t="str">
        <f aca="false">IF(L184="","",IFERROR(INDEX('Hashtag Bank'!$E$5:$E$104,MATCH(L184,'Hashtag Bank'!$B$5:$B$104,0)),""))</f>
        <v/>
      </c>
      <c r="N184" s="16"/>
      <c r="O184" s="16"/>
      <c r="P184" s="16"/>
      <c r="Q184" s="46" t="str">
        <f aca="true">IF(A184&amp;H184="","",TRIM(IF(AND(A184&lt;&gt;"",A184&lt;TODAY(),O184&lt;&gt;"Published",O184&lt;&gt;"Repurpose"),"⚠ Overdue ","")&amp;IF(AND(J184&lt;&gt;"",D184&lt;&gt;"",IFERROR(J184&gt;INDEX(Setup!$E$9:$E$18,MATCH(D184,Setup!$B$9:$B$18,0)),FALSE())),"✂ Caption too long ","")&amp;IF(AND(M184&lt;&gt;"",D184&lt;&gt;"",IFERROR(M184&gt;INDEX(Setup!$F$9:$F$18,MATCH(D184,Setup!$B$9:$B$18,0)),FALSE())),"# Too many tags","")))</f>
        <v/>
      </c>
      <c r="R184" s="16"/>
      <c r="S184" s="19"/>
      <c r="T184" s="19"/>
      <c r="U184" s="19"/>
      <c r="V184" s="19"/>
      <c r="W184" s="19"/>
      <c r="X184" s="19"/>
      <c r="Y184" s="19"/>
      <c r="Z184" s="47" t="str">
        <f aca="false">IF(COUNT(U184:X184)=0,"",SUM(U184:X184))</f>
        <v/>
      </c>
      <c r="AA184" s="48" t="str">
        <f aca="false">IF(OR(Z184="",N(T184)=0),"",Z184/T184)</f>
        <v/>
      </c>
      <c r="AB184" s="45"/>
      <c r="AC184" s="51" t="str">
        <f aca="false">IF(A184="","",A184+N(C184)+ROW()/10^7)</f>
        <v/>
      </c>
      <c r="AD184" s="51" t="str">
        <f aca="false">IF(A184="","",TEXT(A184,"0")&amp;"|"&amp;COUNTIFS('Content Log'!$A$5:$A$504,A184,'Content Log'!$AC$5:$AC$504,"&lt;="&amp;AC184))</f>
        <v/>
      </c>
      <c r="AE184" s="51" t="str">
        <f aca="false">IF(A184="","",IFERROR(INDEX(Setup!$N$9:$N$14,MATCH(O184,Setup!$M$9:$M$14,0))&amp;" ","")&amp;IF(C184="","",TEXT(C184,"h:mm AM/PM")&amp;" ")&amp;D184&amp;IF(H184="",""," · "&amp;H184))</f>
        <v/>
      </c>
      <c r="AF184" s="51" t="str">
        <f aca="false">IF(OR(A184="",AA184=""),"",IF(AND(A184&gt;=Dashboard!$G$4,A184&lt;=Dashboard!$I$4),AA184+ROW()/10^9,""))</f>
        <v/>
      </c>
      <c r="AG184" s="51" t="str">
        <f aca="false">IF(A184="","",WEEKDAY(A184,2))</f>
        <v/>
      </c>
    </row>
    <row r="185" customFormat="false" ht="15" hidden="false" customHeight="false" outlineLevel="0" collapsed="false">
      <c r="A185" s="43"/>
      <c r="B185" s="11" t="str">
        <f aca="false">IF(A185="","",TEXT(A185,"ddd"))</f>
        <v/>
      </c>
      <c r="C185" s="44"/>
      <c r="D185" s="16"/>
      <c r="E185" s="16"/>
      <c r="F185" s="16"/>
      <c r="G185" s="16"/>
      <c r="H185" s="45"/>
      <c r="I185" s="45"/>
      <c r="J185" s="11" t="str">
        <f aca="false">IF(I185="","",LEN(I185))</f>
        <v/>
      </c>
      <c r="K185" s="16"/>
      <c r="L185" s="16"/>
      <c r="M185" s="11" t="str">
        <f aca="false">IF(L185="","",IFERROR(INDEX('Hashtag Bank'!$E$5:$E$104,MATCH(L185,'Hashtag Bank'!$B$5:$B$104,0)),""))</f>
        <v/>
      </c>
      <c r="N185" s="16"/>
      <c r="O185" s="16"/>
      <c r="P185" s="16"/>
      <c r="Q185" s="46" t="str">
        <f aca="true">IF(A185&amp;H185="","",TRIM(IF(AND(A185&lt;&gt;"",A185&lt;TODAY(),O185&lt;&gt;"Published",O185&lt;&gt;"Repurpose"),"⚠ Overdue ","")&amp;IF(AND(J185&lt;&gt;"",D185&lt;&gt;"",IFERROR(J185&gt;INDEX(Setup!$E$9:$E$18,MATCH(D185,Setup!$B$9:$B$18,0)),FALSE())),"✂ Caption too long ","")&amp;IF(AND(M185&lt;&gt;"",D185&lt;&gt;"",IFERROR(M185&gt;INDEX(Setup!$F$9:$F$18,MATCH(D185,Setup!$B$9:$B$18,0)),FALSE())),"# Too many tags","")))</f>
        <v/>
      </c>
      <c r="R185" s="16"/>
      <c r="S185" s="19"/>
      <c r="T185" s="19"/>
      <c r="U185" s="19"/>
      <c r="V185" s="19"/>
      <c r="W185" s="19"/>
      <c r="X185" s="19"/>
      <c r="Y185" s="19"/>
      <c r="Z185" s="47" t="str">
        <f aca="false">IF(COUNT(U185:X185)=0,"",SUM(U185:X185))</f>
        <v/>
      </c>
      <c r="AA185" s="48" t="str">
        <f aca="false">IF(OR(Z185="",N(T185)=0),"",Z185/T185)</f>
        <v/>
      </c>
      <c r="AB185" s="45"/>
      <c r="AC185" s="51" t="str">
        <f aca="false">IF(A185="","",A185+N(C185)+ROW()/10^7)</f>
        <v/>
      </c>
      <c r="AD185" s="51" t="str">
        <f aca="false">IF(A185="","",TEXT(A185,"0")&amp;"|"&amp;COUNTIFS('Content Log'!$A$5:$A$504,A185,'Content Log'!$AC$5:$AC$504,"&lt;="&amp;AC185))</f>
        <v/>
      </c>
      <c r="AE185" s="51" t="str">
        <f aca="false">IF(A185="","",IFERROR(INDEX(Setup!$N$9:$N$14,MATCH(O185,Setup!$M$9:$M$14,0))&amp;" ","")&amp;IF(C185="","",TEXT(C185,"h:mm AM/PM")&amp;" ")&amp;D185&amp;IF(H185="",""," · "&amp;H185))</f>
        <v/>
      </c>
      <c r="AF185" s="51" t="str">
        <f aca="false">IF(OR(A185="",AA185=""),"",IF(AND(A185&gt;=Dashboard!$G$4,A185&lt;=Dashboard!$I$4),AA185+ROW()/10^9,""))</f>
        <v/>
      </c>
      <c r="AG185" s="51" t="str">
        <f aca="false">IF(A185="","",WEEKDAY(A185,2))</f>
        <v/>
      </c>
    </row>
    <row r="186" customFormat="false" ht="15" hidden="false" customHeight="false" outlineLevel="0" collapsed="false">
      <c r="A186" s="43"/>
      <c r="B186" s="11" t="str">
        <f aca="false">IF(A186="","",TEXT(A186,"ddd"))</f>
        <v/>
      </c>
      <c r="C186" s="44"/>
      <c r="D186" s="16"/>
      <c r="E186" s="16"/>
      <c r="F186" s="16"/>
      <c r="G186" s="16"/>
      <c r="H186" s="45"/>
      <c r="I186" s="45"/>
      <c r="J186" s="11" t="str">
        <f aca="false">IF(I186="","",LEN(I186))</f>
        <v/>
      </c>
      <c r="K186" s="16"/>
      <c r="L186" s="16"/>
      <c r="M186" s="11" t="str">
        <f aca="false">IF(L186="","",IFERROR(INDEX('Hashtag Bank'!$E$5:$E$104,MATCH(L186,'Hashtag Bank'!$B$5:$B$104,0)),""))</f>
        <v/>
      </c>
      <c r="N186" s="16"/>
      <c r="O186" s="16"/>
      <c r="P186" s="16"/>
      <c r="Q186" s="46" t="str">
        <f aca="true">IF(A186&amp;H186="","",TRIM(IF(AND(A186&lt;&gt;"",A186&lt;TODAY(),O186&lt;&gt;"Published",O186&lt;&gt;"Repurpose"),"⚠ Overdue ","")&amp;IF(AND(J186&lt;&gt;"",D186&lt;&gt;"",IFERROR(J186&gt;INDEX(Setup!$E$9:$E$18,MATCH(D186,Setup!$B$9:$B$18,0)),FALSE())),"✂ Caption too long ","")&amp;IF(AND(M186&lt;&gt;"",D186&lt;&gt;"",IFERROR(M186&gt;INDEX(Setup!$F$9:$F$18,MATCH(D186,Setup!$B$9:$B$18,0)),FALSE())),"# Too many tags","")))</f>
        <v/>
      </c>
      <c r="R186" s="16"/>
      <c r="S186" s="19"/>
      <c r="T186" s="19"/>
      <c r="U186" s="19"/>
      <c r="V186" s="19"/>
      <c r="W186" s="19"/>
      <c r="X186" s="19"/>
      <c r="Y186" s="19"/>
      <c r="Z186" s="47" t="str">
        <f aca="false">IF(COUNT(U186:X186)=0,"",SUM(U186:X186))</f>
        <v/>
      </c>
      <c r="AA186" s="48" t="str">
        <f aca="false">IF(OR(Z186="",N(T186)=0),"",Z186/T186)</f>
        <v/>
      </c>
      <c r="AB186" s="45"/>
      <c r="AC186" s="51" t="str">
        <f aca="false">IF(A186="","",A186+N(C186)+ROW()/10^7)</f>
        <v/>
      </c>
      <c r="AD186" s="51" t="str">
        <f aca="false">IF(A186="","",TEXT(A186,"0")&amp;"|"&amp;COUNTIFS('Content Log'!$A$5:$A$504,A186,'Content Log'!$AC$5:$AC$504,"&lt;="&amp;AC186))</f>
        <v/>
      </c>
      <c r="AE186" s="51" t="str">
        <f aca="false">IF(A186="","",IFERROR(INDEX(Setup!$N$9:$N$14,MATCH(O186,Setup!$M$9:$M$14,0))&amp;" ","")&amp;IF(C186="","",TEXT(C186,"h:mm AM/PM")&amp;" ")&amp;D186&amp;IF(H186="",""," · "&amp;H186))</f>
        <v/>
      </c>
      <c r="AF186" s="51" t="str">
        <f aca="false">IF(OR(A186="",AA186=""),"",IF(AND(A186&gt;=Dashboard!$G$4,A186&lt;=Dashboard!$I$4),AA186+ROW()/10^9,""))</f>
        <v/>
      </c>
      <c r="AG186" s="51" t="str">
        <f aca="false">IF(A186="","",WEEKDAY(A186,2))</f>
        <v/>
      </c>
    </row>
    <row r="187" customFormat="false" ht="15" hidden="false" customHeight="false" outlineLevel="0" collapsed="false">
      <c r="A187" s="43"/>
      <c r="B187" s="11" t="str">
        <f aca="false">IF(A187="","",TEXT(A187,"ddd"))</f>
        <v/>
      </c>
      <c r="C187" s="44"/>
      <c r="D187" s="16"/>
      <c r="E187" s="16"/>
      <c r="F187" s="16"/>
      <c r="G187" s="16"/>
      <c r="H187" s="45"/>
      <c r="I187" s="45"/>
      <c r="J187" s="11" t="str">
        <f aca="false">IF(I187="","",LEN(I187))</f>
        <v/>
      </c>
      <c r="K187" s="16"/>
      <c r="L187" s="16"/>
      <c r="M187" s="11" t="str">
        <f aca="false">IF(L187="","",IFERROR(INDEX('Hashtag Bank'!$E$5:$E$104,MATCH(L187,'Hashtag Bank'!$B$5:$B$104,0)),""))</f>
        <v/>
      </c>
      <c r="N187" s="16"/>
      <c r="O187" s="16"/>
      <c r="P187" s="16"/>
      <c r="Q187" s="46" t="str">
        <f aca="true">IF(A187&amp;H187="","",TRIM(IF(AND(A187&lt;&gt;"",A187&lt;TODAY(),O187&lt;&gt;"Published",O187&lt;&gt;"Repurpose"),"⚠ Overdue ","")&amp;IF(AND(J187&lt;&gt;"",D187&lt;&gt;"",IFERROR(J187&gt;INDEX(Setup!$E$9:$E$18,MATCH(D187,Setup!$B$9:$B$18,0)),FALSE())),"✂ Caption too long ","")&amp;IF(AND(M187&lt;&gt;"",D187&lt;&gt;"",IFERROR(M187&gt;INDEX(Setup!$F$9:$F$18,MATCH(D187,Setup!$B$9:$B$18,0)),FALSE())),"# Too many tags","")))</f>
        <v/>
      </c>
      <c r="R187" s="16"/>
      <c r="S187" s="19"/>
      <c r="T187" s="19"/>
      <c r="U187" s="19"/>
      <c r="V187" s="19"/>
      <c r="W187" s="19"/>
      <c r="X187" s="19"/>
      <c r="Y187" s="19"/>
      <c r="Z187" s="47" t="str">
        <f aca="false">IF(COUNT(U187:X187)=0,"",SUM(U187:X187))</f>
        <v/>
      </c>
      <c r="AA187" s="48" t="str">
        <f aca="false">IF(OR(Z187="",N(T187)=0),"",Z187/T187)</f>
        <v/>
      </c>
      <c r="AB187" s="45"/>
      <c r="AC187" s="51" t="str">
        <f aca="false">IF(A187="","",A187+N(C187)+ROW()/10^7)</f>
        <v/>
      </c>
      <c r="AD187" s="51" t="str">
        <f aca="false">IF(A187="","",TEXT(A187,"0")&amp;"|"&amp;COUNTIFS('Content Log'!$A$5:$A$504,A187,'Content Log'!$AC$5:$AC$504,"&lt;="&amp;AC187))</f>
        <v/>
      </c>
      <c r="AE187" s="51" t="str">
        <f aca="false">IF(A187="","",IFERROR(INDEX(Setup!$N$9:$N$14,MATCH(O187,Setup!$M$9:$M$14,0))&amp;" ","")&amp;IF(C187="","",TEXT(C187,"h:mm AM/PM")&amp;" ")&amp;D187&amp;IF(H187="",""," · "&amp;H187))</f>
        <v/>
      </c>
      <c r="AF187" s="51" t="str">
        <f aca="false">IF(OR(A187="",AA187=""),"",IF(AND(A187&gt;=Dashboard!$G$4,A187&lt;=Dashboard!$I$4),AA187+ROW()/10^9,""))</f>
        <v/>
      </c>
      <c r="AG187" s="51" t="str">
        <f aca="false">IF(A187="","",WEEKDAY(A187,2))</f>
        <v/>
      </c>
    </row>
    <row r="188" customFormat="false" ht="15" hidden="false" customHeight="false" outlineLevel="0" collapsed="false">
      <c r="A188" s="43"/>
      <c r="B188" s="11" t="str">
        <f aca="false">IF(A188="","",TEXT(A188,"ddd"))</f>
        <v/>
      </c>
      <c r="C188" s="44"/>
      <c r="D188" s="16"/>
      <c r="E188" s="16"/>
      <c r="F188" s="16"/>
      <c r="G188" s="16"/>
      <c r="H188" s="45"/>
      <c r="I188" s="45"/>
      <c r="J188" s="11" t="str">
        <f aca="false">IF(I188="","",LEN(I188))</f>
        <v/>
      </c>
      <c r="K188" s="16"/>
      <c r="L188" s="16"/>
      <c r="M188" s="11" t="str">
        <f aca="false">IF(L188="","",IFERROR(INDEX('Hashtag Bank'!$E$5:$E$104,MATCH(L188,'Hashtag Bank'!$B$5:$B$104,0)),""))</f>
        <v/>
      </c>
      <c r="N188" s="16"/>
      <c r="O188" s="16"/>
      <c r="P188" s="16"/>
      <c r="Q188" s="46" t="str">
        <f aca="true">IF(A188&amp;H188="","",TRIM(IF(AND(A188&lt;&gt;"",A188&lt;TODAY(),O188&lt;&gt;"Published",O188&lt;&gt;"Repurpose"),"⚠ Overdue ","")&amp;IF(AND(J188&lt;&gt;"",D188&lt;&gt;"",IFERROR(J188&gt;INDEX(Setup!$E$9:$E$18,MATCH(D188,Setup!$B$9:$B$18,0)),FALSE())),"✂ Caption too long ","")&amp;IF(AND(M188&lt;&gt;"",D188&lt;&gt;"",IFERROR(M188&gt;INDEX(Setup!$F$9:$F$18,MATCH(D188,Setup!$B$9:$B$18,0)),FALSE())),"# Too many tags","")))</f>
        <v/>
      </c>
      <c r="R188" s="16"/>
      <c r="S188" s="19"/>
      <c r="T188" s="19"/>
      <c r="U188" s="19"/>
      <c r="V188" s="19"/>
      <c r="W188" s="19"/>
      <c r="X188" s="19"/>
      <c r="Y188" s="19"/>
      <c r="Z188" s="47" t="str">
        <f aca="false">IF(COUNT(U188:X188)=0,"",SUM(U188:X188))</f>
        <v/>
      </c>
      <c r="AA188" s="48" t="str">
        <f aca="false">IF(OR(Z188="",N(T188)=0),"",Z188/T188)</f>
        <v/>
      </c>
      <c r="AB188" s="45"/>
      <c r="AC188" s="51" t="str">
        <f aca="false">IF(A188="","",A188+N(C188)+ROW()/10^7)</f>
        <v/>
      </c>
      <c r="AD188" s="51" t="str">
        <f aca="false">IF(A188="","",TEXT(A188,"0")&amp;"|"&amp;COUNTIFS('Content Log'!$A$5:$A$504,A188,'Content Log'!$AC$5:$AC$504,"&lt;="&amp;AC188))</f>
        <v/>
      </c>
      <c r="AE188" s="51" t="str">
        <f aca="false">IF(A188="","",IFERROR(INDEX(Setup!$N$9:$N$14,MATCH(O188,Setup!$M$9:$M$14,0))&amp;" ","")&amp;IF(C188="","",TEXT(C188,"h:mm AM/PM")&amp;" ")&amp;D188&amp;IF(H188="",""," · "&amp;H188))</f>
        <v/>
      </c>
      <c r="AF188" s="51" t="str">
        <f aca="false">IF(OR(A188="",AA188=""),"",IF(AND(A188&gt;=Dashboard!$G$4,A188&lt;=Dashboard!$I$4),AA188+ROW()/10^9,""))</f>
        <v/>
      </c>
      <c r="AG188" s="51" t="str">
        <f aca="false">IF(A188="","",WEEKDAY(A188,2))</f>
        <v/>
      </c>
    </row>
    <row r="189" customFormat="false" ht="15" hidden="false" customHeight="false" outlineLevel="0" collapsed="false">
      <c r="A189" s="43"/>
      <c r="B189" s="11" t="str">
        <f aca="false">IF(A189="","",TEXT(A189,"ddd"))</f>
        <v/>
      </c>
      <c r="C189" s="44"/>
      <c r="D189" s="16"/>
      <c r="E189" s="16"/>
      <c r="F189" s="16"/>
      <c r="G189" s="16"/>
      <c r="H189" s="45"/>
      <c r="I189" s="45"/>
      <c r="J189" s="11" t="str">
        <f aca="false">IF(I189="","",LEN(I189))</f>
        <v/>
      </c>
      <c r="K189" s="16"/>
      <c r="L189" s="16"/>
      <c r="M189" s="11" t="str">
        <f aca="false">IF(L189="","",IFERROR(INDEX('Hashtag Bank'!$E$5:$E$104,MATCH(L189,'Hashtag Bank'!$B$5:$B$104,0)),""))</f>
        <v/>
      </c>
      <c r="N189" s="16"/>
      <c r="O189" s="16"/>
      <c r="P189" s="16"/>
      <c r="Q189" s="46" t="str">
        <f aca="true">IF(A189&amp;H189="","",TRIM(IF(AND(A189&lt;&gt;"",A189&lt;TODAY(),O189&lt;&gt;"Published",O189&lt;&gt;"Repurpose"),"⚠ Overdue ","")&amp;IF(AND(J189&lt;&gt;"",D189&lt;&gt;"",IFERROR(J189&gt;INDEX(Setup!$E$9:$E$18,MATCH(D189,Setup!$B$9:$B$18,0)),FALSE())),"✂ Caption too long ","")&amp;IF(AND(M189&lt;&gt;"",D189&lt;&gt;"",IFERROR(M189&gt;INDEX(Setup!$F$9:$F$18,MATCH(D189,Setup!$B$9:$B$18,0)),FALSE())),"# Too many tags","")))</f>
        <v/>
      </c>
      <c r="R189" s="16"/>
      <c r="S189" s="19"/>
      <c r="T189" s="19"/>
      <c r="U189" s="19"/>
      <c r="V189" s="19"/>
      <c r="W189" s="19"/>
      <c r="X189" s="19"/>
      <c r="Y189" s="19"/>
      <c r="Z189" s="47" t="str">
        <f aca="false">IF(COUNT(U189:X189)=0,"",SUM(U189:X189))</f>
        <v/>
      </c>
      <c r="AA189" s="48" t="str">
        <f aca="false">IF(OR(Z189="",N(T189)=0),"",Z189/T189)</f>
        <v/>
      </c>
      <c r="AB189" s="45"/>
      <c r="AC189" s="51" t="str">
        <f aca="false">IF(A189="","",A189+N(C189)+ROW()/10^7)</f>
        <v/>
      </c>
      <c r="AD189" s="51" t="str">
        <f aca="false">IF(A189="","",TEXT(A189,"0")&amp;"|"&amp;COUNTIFS('Content Log'!$A$5:$A$504,A189,'Content Log'!$AC$5:$AC$504,"&lt;="&amp;AC189))</f>
        <v/>
      </c>
      <c r="AE189" s="51" t="str">
        <f aca="false">IF(A189="","",IFERROR(INDEX(Setup!$N$9:$N$14,MATCH(O189,Setup!$M$9:$M$14,0))&amp;" ","")&amp;IF(C189="","",TEXT(C189,"h:mm AM/PM")&amp;" ")&amp;D189&amp;IF(H189="",""," · "&amp;H189))</f>
        <v/>
      </c>
      <c r="AF189" s="51" t="str">
        <f aca="false">IF(OR(A189="",AA189=""),"",IF(AND(A189&gt;=Dashboard!$G$4,A189&lt;=Dashboard!$I$4),AA189+ROW()/10^9,""))</f>
        <v/>
      </c>
      <c r="AG189" s="51" t="str">
        <f aca="false">IF(A189="","",WEEKDAY(A189,2))</f>
        <v/>
      </c>
    </row>
    <row r="190" customFormat="false" ht="15" hidden="false" customHeight="false" outlineLevel="0" collapsed="false">
      <c r="A190" s="43"/>
      <c r="B190" s="11" t="str">
        <f aca="false">IF(A190="","",TEXT(A190,"ddd"))</f>
        <v/>
      </c>
      <c r="C190" s="44"/>
      <c r="D190" s="16"/>
      <c r="E190" s="16"/>
      <c r="F190" s="16"/>
      <c r="G190" s="16"/>
      <c r="H190" s="45"/>
      <c r="I190" s="45"/>
      <c r="J190" s="11" t="str">
        <f aca="false">IF(I190="","",LEN(I190))</f>
        <v/>
      </c>
      <c r="K190" s="16"/>
      <c r="L190" s="16"/>
      <c r="M190" s="11" t="str">
        <f aca="false">IF(L190="","",IFERROR(INDEX('Hashtag Bank'!$E$5:$E$104,MATCH(L190,'Hashtag Bank'!$B$5:$B$104,0)),""))</f>
        <v/>
      </c>
      <c r="N190" s="16"/>
      <c r="O190" s="16"/>
      <c r="P190" s="16"/>
      <c r="Q190" s="46" t="str">
        <f aca="true">IF(A190&amp;H190="","",TRIM(IF(AND(A190&lt;&gt;"",A190&lt;TODAY(),O190&lt;&gt;"Published",O190&lt;&gt;"Repurpose"),"⚠ Overdue ","")&amp;IF(AND(J190&lt;&gt;"",D190&lt;&gt;"",IFERROR(J190&gt;INDEX(Setup!$E$9:$E$18,MATCH(D190,Setup!$B$9:$B$18,0)),FALSE())),"✂ Caption too long ","")&amp;IF(AND(M190&lt;&gt;"",D190&lt;&gt;"",IFERROR(M190&gt;INDEX(Setup!$F$9:$F$18,MATCH(D190,Setup!$B$9:$B$18,0)),FALSE())),"# Too many tags","")))</f>
        <v/>
      </c>
      <c r="R190" s="16"/>
      <c r="S190" s="19"/>
      <c r="T190" s="19"/>
      <c r="U190" s="19"/>
      <c r="V190" s="19"/>
      <c r="W190" s="19"/>
      <c r="X190" s="19"/>
      <c r="Y190" s="19"/>
      <c r="Z190" s="47" t="str">
        <f aca="false">IF(COUNT(U190:X190)=0,"",SUM(U190:X190))</f>
        <v/>
      </c>
      <c r="AA190" s="48" t="str">
        <f aca="false">IF(OR(Z190="",N(T190)=0),"",Z190/T190)</f>
        <v/>
      </c>
      <c r="AB190" s="45"/>
      <c r="AC190" s="51" t="str">
        <f aca="false">IF(A190="","",A190+N(C190)+ROW()/10^7)</f>
        <v/>
      </c>
      <c r="AD190" s="51" t="str">
        <f aca="false">IF(A190="","",TEXT(A190,"0")&amp;"|"&amp;COUNTIFS('Content Log'!$A$5:$A$504,A190,'Content Log'!$AC$5:$AC$504,"&lt;="&amp;AC190))</f>
        <v/>
      </c>
      <c r="AE190" s="51" t="str">
        <f aca="false">IF(A190="","",IFERROR(INDEX(Setup!$N$9:$N$14,MATCH(O190,Setup!$M$9:$M$14,0))&amp;" ","")&amp;IF(C190="","",TEXT(C190,"h:mm AM/PM")&amp;" ")&amp;D190&amp;IF(H190="",""," · "&amp;H190))</f>
        <v/>
      </c>
      <c r="AF190" s="51" t="str">
        <f aca="false">IF(OR(A190="",AA190=""),"",IF(AND(A190&gt;=Dashboard!$G$4,A190&lt;=Dashboard!$I$4),AA190+ROW()/10^9,""))</f>
        <v/>
      </c>
      <c r="AG190" s="51" t="str">
        <f aca="false">IF(A190="","",WEEKDAY(A190,2))</f>
        <v/>
      </c>
    </row>
    <row r="191" customFormat="false" ht="15" hidden="false" customHeight="false" outlineLevel="0" collapsed="false">
      <c r="A191" s="43"/>
      <c r="B191" s="11" t="str">
        <f aca="false">IF(A191="","",TEXT(A191,"ddd"))</f>
        <v/>
      </c>
      <c r="C191" s="44"/>
      <c r="D191" s="16"/>
      <c r="E191" s="16"/>
      <c r="F191" s="16"/>
      <c r="G191" s="16"/>
      <c r="H191" s="45"/>
      <c r="I191" s="45"/>
      <c r="J191" s="11" t="str">
        <f aca="false">IF(I191="","",LEN(I191))</f>
        <v/>
      </c>
      <c r="K191" s="16"/>
      <c r="L191" s="16"/>
      <c r="M191" s="11" t="str">
        <f aca="false">IF(L191="","",IFERROR(INDEX('Hashtag Bank'!$E$5:$E$104,MATCH(L191,'Hashtag Bank'!$B$5:$B$104,0)),""))</f>
        <v/>
      </c>
      <c r="N191" s="16"/>
      <c r="O191" s="16"/>
      <c r="P191" s="16"/>
      <c r="Q191" s="46" t="str">
        <f aca="true">IF(A191&amp;H191="","",TRIM(IF(AND(A191&lt;&gt;"",A191&lt;TODAY(),O191&lt;&gt;"Published",O191&lt;&gt;"Repurpose"),"⚠ Overdue ","")&amp;IF(AND(J191&lt;&gt;"",D191&lt;&gt;"",IFERROR(J191&gt;INDEX(Setup!$E$9:$E$18,MATCH(D191,Setup!$B$9:$B$18,0)),FALSE())),"✂ Caption too long ","")&amp;IF(AND(M191&lt;&gt;"",D191&lt;&gt;"",IFERROR(M191&gt;INDEX(Setup!$F$9:$F$18,MATCH(D191,Setup!$B$9:$B$18,0)),FALSE())),"# Too many tags","")))</f>
        <v/>
      </c>
      <c r="R191" s="16"/>
      <c r="S191" s="19"/>
      <c r="T191" s="19"/>
      <c r="U191" s="19"/>
      <c r="V191" s="19"/>
      <c r="W191" s="19"/>
      <c r="X191" s="19"/>
      <c r="Y191" s="19"/>
      <c r="Z191" s="47" t="str">
        <f aca="false">IF(COUNT(U191:X191)=0,"",SUM(U191:X191))</f>
        <v/>
      </c>
      <c r="AA191" s="48" t="str">
        <f aca="false">IF(OR(Z191="",N(T191)=0),"",Z191/T191)</f>
        <v/>
      </c>
      <c r="AB191" s="45"/>
      <c r="AC191" s="51" t="str">
        <f aca="false">IF(A191="","",A191+N(C191)+ROW()/10^7)</f>
        <v/>
      </c>
      <c r="AD191" s="51" t="str">
        <f aca="false">IF(A191="","",TEXT(A191,"0")&amp;"|"&amp;COUNTIFS('Content Log'!$A$5:$A$504,A191,'Content Log'!$AC$5:$AC$504,"&lt;="&amp;AC191))</f>
        <v/>
      </c>
      <c r="AE191" s="51" t="str">
        <f aca="false">IF(A191="","",IFERROR(INDEX(Setup!$N$9:$N$14,MATCH(O191,Setup!$M$9:$M$14,0))&amp;" ","")&amp;IF(C191="","",TEXT(C191,"h:mm AM/PM")&amp;" ")&amp;D191&amp;IF(H191="",""," · "&amp;H191))</f>
        <v/>
      </c>
      <c r="AF191" s="51" t="str">
        <f aca="false">IF(OR(A191="",AA191=""),"",IF(AND(A191&gt;=Dashboard!$G$4,A191&lt;=Dashboard!$I$4),AA191+ROW()/10^9,""))</f>
        <v/>
      </c>
      <c r="AG191" s="51" t="str">
        <f aca="false">IF(A191="","",WEEKDAY(A191,2))</f>
        <v/>
      </c>
    </row>
    <row r="192" customFormat="false" ht="15" hidden="false" customHeight="false" outlineLevel="0" collapsed="false">
      <c r="A192" s="43"/>
      <c r="B192" s="11" t="str">
        <f aca="false">IF(A192="","",TEXT(A192,"ddd"))</f>
        <v/>
      </c>
      <c r="C192" s="44"/>
      <c r="D192" s="16"/>
      <c r="E192" s="16"/>
      <c r="F192" s="16"/>
      <c r="G192" s="16"/>
      <c r="H192" s="45"/>
      <c r="I192" s="45"/>
      <c r="J192" s="11" t="str">
        <f aca="false">IF(I192="","",LEN(I192))</f>
        <v/>
      </c>
      <c r="K192" s="16"/>
      <c r="L192" s="16"/>
      <c r="M192" s="11" t="str">
        <f aca="false">IF(L192="","",IFERROR(INDEX('Hashtag Bank'!$E$5:$E$104,MATCH(L192,'Hashtag Bank'!$B$5:$B$104,0)),""))</f>
        <v/>
      </c>
      <c r="N192" s="16"/>
      <c r="O192" s="16"/>
      <c r="P192" s="16"/>
      <c r="Q192" s="46" t="str">
        <f aca="true">IF(A192&amp;H192="","",TRIM(IF(AND(A192&lt;&gt;"",A192&lt;TODAY(),O192&lt;&gt;"Published",O192&lt;&gt;"Repurpose"),"⚠ Overdue ","")&amp;IF(AND(J192&lt;&gt;"",D192&lt;&gt;"",IFERROR(J192&gt;INDEX(Setup!$E$9:$E$18,MATCH(D192,Setup!$B$9:$B$18,0)),FALSE())),"✂ Caption too long ","")&amp;IF(AND(M192&lt;&gt;"",D192&lt;&gt;"",IFERROR(M192&gt;INDEX(Setup!$F$9:$F$18,MATCH(D192,Setup!$B$9:$B$18,0)),FALSE())),"# Too many tags","")))</f>
        <v/>
      </c>
      <c r="R192" s="16"/>
      <c r="S192" s="19"/>
      <c r="T192" s="19"/>
      <c r="U192" s="19"/>
      <c r="V192" s="19"/>
      <c r="W192" s="19"/>
      <c r="X192" s="19"/>
      <c r="Y192" s="19"/>
      <c r="Z192" s="47" t="str">
        <f aca="false">IF(COUNT(U192:X192)=0,"",SUM(U192:X192))</f>
        <v/>
      </c>
      <c r="AA192" s="48" t="str">
        <f aca="false">IF(OR(Z192="",N(T192)=0),"",Z192/T192)</f>
        <v/>
      </c>
      <c r="AB192" s="45"/>
      <c r="AC192" s="51" t="str">
        <f aca="false">IF(A192="","",A192+N(C192)+ROW()/10^7)</f>
        <v/>
      </c>
      <c r="AD192" s="51" t="str">
        <f aca="false">IF(A192="","",TEXT(A192,"0")&amp;"|"&amp;COUNTIFS('Content Log'!$A$5:$A$504,A192,'Content Log'!$AC$5:$AC$504,"&lt;="&amp;AC192))</f>
        <v/>
      </c>
      <c r="AE192" s="51" t="str">
        <f aca="false">IF(A192="","",IFERROR(INDEX(Setup!$N$9:$N$14,MATCH(O192,Setup!$M$9:$M$14,0))&amp;" ","")&amp;IF(C192="","",TEXT(C192,"h:mm AM/PM")&amp;" ")&amp;D192&amp;IF(H192="",""," · "&amp;H192))</f>
        <v/>
      </c>
      <c r="AF192" s="51" t="str">
        <f aca="false">IF(OR(A192="",AA192=""),"",IF(AND(A192&gt;=Dashboard!$G$4,A192&lt;=Dashboard!$I$4),AA192+ROW()/10^9,""))</f>
        <v/>
      </c>
      <c r="AG192" s="51" t="str">
        <f aca="false">IF(A192="","",WEEKDAY(A192,2))</f>
        <v/>
      </c>
    </row>
    <row r="193" customFormat="false" ht="15" hidden="false" customHeight="false" outlineLevel="0" collapsed="false">
      <c r="A193" s="43"/>
      <c r="B193" s="11" t="str">
        <f aca="false">IF(A193="","",TEXT(A193,"ddd"))</f>
        <v/>
      </c>
      <c r="C193" s="44"/>
      <c r="D193" s="16"/>
      <c r="E193" s="16"/>
      <c r="F193" s="16"/>
      <c r="G193" s="16"/>
      <c r="H193" s="45"/>
      <c r="I193" s="45"/>
      <c r="J193" s="11" t="str">
        <f aca="false">IF(I193="","",LEN(I193))</f>
        <v/>
      </c>
      <c r="K193" s="16"/>
      <c r="L193" s="16"/>
      <c r="M193" s="11" t="str">
        <f aca="false">IF(L193="","",IFERROR(INDEX('Hashtag Bank'!$E$5:$E$104,MATCH(L193,'Hashtag Bank'!$B$5:$B$104,0)),""))</f>
        <v/>
      </c>
      <c r="N193" s="16"/>
      <c r="O193" s="16"/>
      <c r="P193" s="16"/>
      <c r="Q193" s="46" t="str">
        <f aca="true">IF(A193&amp;H193="","",TRIM(IF(AND(A193&lt;&gt;"",A193&lt;TODAY(),O193&lt;&gt;"Published",O193&lt;&gt;"Repurpose"),"⚠ Overdue ","")&amp;IF(AND(J193&lt;&gt;"",D193&lt;&gt;"",IFERROR(J193&gt;INDEX(Setup!$E$9:$E$18,MATCH(D193,Setup!$B$9:$B$18,0)),FALSE())),"✂ Caption too long ","")&amp;IF(AND(M193&lt;&gt;"",D193&lt;&gt;"",IFERROR(M193&gt;INDEX(Setup!$F$9:$F$18,MATCH(D193,Setup!$B$9:$B$18,0)),FALSE())),"# Too many tags","")))</f>
        <v/>
      </c>
      <c r="R193" s="16"/>
      <c r="S193" s="19"/>
      <c r="T193" s="19"/>
      <c r="U193" s="19"/>
      <c r="V193" s="19"/>
      <c r="W193" s="19"/>
      <c r="X193" s="19"/>
      <c r="Y193" s="19"/>
      <c r="Z193" s="47" t="str">
        <f aca="false">IF(COUNT(U193:X193)=0,"",SUM(U193:X193))</f>
        <v/>
      </c>
      <c r="AA193" s="48" t="str">
        <f aca="false">IF(OR(Z193="",N(T193)=0),"",Z193/T193)</f>
        <v/>
      </c>
      <c r="AB193" s="45"/>
      <c r="AC193" s="51" t="str">
        <f aca="false">IF(A193="","",A193+N(C193)+ROW()/10^7)</f>
        <v/>
      </c>
      <c r="AD193" s="51" t="str">
        <f aca="false">IF(A193="","",TEXT(A193,"0")&amp;"|"&amp;COUNTIFS('Content Log'!$A$5:$A$504,A193,'Content Log'!$AC$5:$AC$504,"&lt;="&amp;AC193))</f>
        <v/>
      </c>
      <c r="AE193" s="51" t="str">
        <f aca="false">IF(A193="","",IFERROR(INDEX(Setup!$N$9:$N$14,MATCH(O193,Setup!$M$9:$M$14,0))&amp;" ","")&amp;IF(C193="","",TEXT(C193,"h:mm AM/PM")&amp;" ")&amp;D193&amp;IF(H193="",""," · "&amp;H193))</f>
        <v/>
      </c>
      <c r="AF193" s="51" t="str">
        <f aca="false">IF(OR(A193="",AA193=""),"",IF(AND(A193&gt;=Dashboard!$G$4,A193&lt;=Dashboard!$I$4),AA193+ROW()/10^9,""))</f>
        <v/>
      </c>
      <c r="AG193" s="51" t="str">
        <f aca="false">IF(A193="","",WEEKDAY(A193,2))</f>
        <v/>
      </c>
    </row>
    <row r="194" customFormat="false" ht="15" hidden="false" customHeight="false" outlineLevel="0" collapsed="false">
      <c r="A194" s="43"/>
      <c r="B194" s="11" t="str">
        <f aca="false">IF(A194="","",TEXT(A194,"ddd"))</f>
        <v/>
      </c>
      <c r="C194" s="44"/>
      <c r="D194" s="16"/>
      <c r="E194" s="16"/>
      <c r="F194" s="16"/>
      <c r="G194" s="16"/>
      <c r="H194" s="45"/>
      <c r="I194" s="45"/>
      <c r="J194" s="11" t="str">
        <f aca="false">IF(I194="","",LEN(I194))</f>
        <v/>
      </c>
      <c r="K194" s="16"/>
      <c r="L194" s="16"/>
      <c r="M194" s="11" t="str">
        <f aca="false">IF(L194="","",IFERROR(INDEX('Hashtag Bank'!$E$5:$E$104,MATCH(L194,'Hashtag Bank'!$B$5:$B$104,0)),""))</f>
        <v/>
      </c>
      <c r="N194" s="16"/>
      <c r="O194" s="16"/>
      <c r="P194" s="16"/>
      <c r="Q194" s="46" t="str">
        <f aca="true">IF(A194&amp;H194="","",TRIM(IF(AND(A194&lt;&gt;"",A194&lt;TODAY(),O194&lt;&gt;"Published",O194&lt;&gt;"Repurpose"),"⚠ Overdue ","")&amp;IF(AND(J194&lt;&gt;"",D194&lt;&gt;"",IFERROR(J194&gt;INDEX(Setup!$E$9:$E$18,MATCH(D194,Setup!$B$9:$B$18,0)),FALSE())),"✂ Caption too long ","")&amp;IF(AND(M194&lt;&gt;"",D194&lt;&gt;"",IFERROR(M194&gt;INDEX(Setup!$F$9:$F$18,MATCH(D194,Setup!$B$9:$B$18,0)),FALSE())),"# Too many tags","")))</f>
        <v/>
      </c>
      <c r="R194" s="16"/>
      <c r="S194" s="19"/>
      <c r="T194" s="19"/>
      <c r="U194" s="19"/>
      <c r="V194" s="19"/>
      <c r="W194" s="19"/>
      <c r="X194" s="19"/>
      <c r="Y194" s="19"/>
      <c r="Z194" s="47" t="str">
        <f aca="false">IF(COUNT(U194:X194)=0,"",SUM(U194:X194))</f>
        <v/>
      </c>
      <c r="AA194" s="48" t="str">
        <f aca="false">IF(OR(Z194="",N(T194)=0),"",Z194/T194)</f>
        <v/>
      </c>
      <c r="AB194" s="45"/>
      <c r="AC194" s="51" t="str">
        <f aca="false">IF(A194="","",A194+N(C194)+ROW()/10^7)</f>
        <v/>
      </c>
      <c r="AD194" s="51" t="str">
        <f aca="false">IF(A194="","",TEXT(A194,"0")&amp;"|"&amp;COUNTIFS('Content Log'!$A$5:$A$504,A194,'Content Log'!$AC$5:$AC$504,"&lt;="&amp;AC194))</f>
        <v/>
      </c>
      <c r="AE194" s="51" t="str">
        <f aca="false">IF(A194="","",IFERROR(INDEX(Setup!$N$9:$N$14,MATCH(O194,Setup!$M$9:$M$14,0))&amp;" ","")&amp;IF(C194="","",TEXT(C194,"h:mm AM/PM")&amp;" ")&amp;D194&amp;IF(H194="",""," · "&amp;H194))</f>
        <v/>
      </c>
      <c r="AF194" s="51" t="str">
        <f aca="false">IF(OR(A194="",AA194=""),"",IF(AND(A194&gt;=Dashboard!$G$4,A194&lt;=Dashboard!$I$4),AA194+ROW()/10^9,""))</f>
        <v/>
      </c>
      <c r="AG194" s="51" t="str">
        <f aca="false">IF(A194="","",WEEKDAY(A194,2))</f>
        <v/>
      </c>
    </row>
    <row r="195" customFormat="false" ht="15" hidden="false" customHeight="false" outlineLevel="0" collapsed="false">
      <c r="A195" s="43"/>
      <c r="B195" s="11" t="str">
        <f aca="false">IF(A195="","",TEXT(A195,"ddd"))</f>
        <v/>
      </c>
      <c r="C195" s="44"/>
      <c r="D195" s="16"/>
      <c r="E195" s="16"/>
      <c r="F195" s="16"/>
      <c r="G195" s="16"/>
      <c r="H195" s="45"/>
      <c r="I195" s="45"/>
      <c r="J195" s="11" t="str">
        <f aca="false">IF(I195="","",LEN(I195))</f>
        <v/>
      </c>
      <c r="K195" s="16"/>
      <c r="L195" s="16"/>
      <c r="M195" s="11" t="str">
        <f aca="false">IF(L195="","",IFERROR(INDEX('Hashtag Bank'!$E$5:$E$104,MATCH(L195,'Hashtag Bank'!$B$5:$B$104,0)),""))</f>
        <v/>
      </c>
      <c r="N195" s="16"/>
      <c r="O195" s="16"/>
      <c r="P195" s="16"/>
      <c r="Q195" s="46" t="str">
        <f aca="true">IF(A195&amp;H195="","",TRIM(IF(AND(A195&lt;&gt;"",A195&lt;TODAY(),O195&lt;&gt;"Published",O195&lt;&gt;"Repurpose"),"⚠ Overdue ","")&amp;IF(AND(J195&lt;&gt;"",D195&lt;&gt;"",IFERROR(J195&gt;INDEX(Setup!$E$9:$E$18,MATCH(D195,Setup!$B$9:$B$18,0)),FALSE())),"✂ Caption too long ","")&amp;IF(AND(M195&lt;&gt;"",D195&lt;&gt;"",IFERROR(M195&gt;INDEX(Setup!$F$9:$F$18,MATCH(D195,Setup!$B$9:$B$18,0)),FALSE())),"# Too many tags","")))</f>
        <v/>
      </c>
      <c r="R195" s="16"/>
      <c r="S195" s="19"/>
      <c r="T195" s="19"/>
      <c r="U195" s="19"/>
      <c r="V195" s="19"/>
      <c r="W195" s="19"/>
      <c r="X195" s="19"/>
      <c r="Y195" s="19"/>
      <c r="Z195" s="47" t="str">
        <f aca="false">IF(COUNT(U195:X195)=0,"",SUM(U195:X195))</f>
        <v/>
      </c>
      <c r="AA195" s="48" t="str">
        <f aca="false">IF(OR(Z195="",N(T195)=0),"",Z195/T195)</f>
        <v/>
      </c>
      <c r="AB195" s="45"/>
      <c r="AC195" s="51" t="str">
        <f aca="false">IF(A195="","",A195+N(C195)+ROW()/10^7)</f>
        <v/>
      </c>
      <c r="AD195" s="51" t="str">
        <f aca="false">IF(A195="","",TEXT(A195,"0")&amp;"|"&amp;COUNTIFS('Content Log'!$A$5:$A$504,A195,'Content Log'!$AC$5:$AC$504,"&lt;="&amp;AC195))</f>
        <v/>
      </c>
      <c r="AE195" s="51" t="str">
        <f aca="false">IF(A195="","",IFERROR(INDEX(Setup!$N$9:$N$14,MATCH(O195,Setup!$M$9:$M$14,0))&amp;" ","")&amp;IF(C195="","",TEXT(C195,"h:mm AM/PM")&amp;" ")&amp;D195&amp;IF(H195="",""," · "&amp;H195))</f>
        <v/>
      </c>
      <c r="AF195" s="51" t="str">
        <f aca="false">IF(OR(A195="",AA195=""),"",IF(AND(A195&gt;=Dashboard!$G$4,A195&lt;=Dashboard!$I$4),AA195+ROW()/10^9,""))</f>
        <v/>
      </c>
      <c r="AG195" s="51" t="str">
        <f aca="false">IF(A195="","",WEEKDAY(A195,2))</f>
        <v/>
      </c>
    </row>
    <row r="196" customFormat="false" ht="15" hidden="false" customHeight="false" outlineLevel="0" collapsed="false">
      <c r="A196" s="43"/>
      <c r="B196" s="11" t="str">
        <f aca="false">IF(A196="","",TEXT(A196,"ddd"))</f>
        <v/>
      </c>
      <c r="C196" s="44"/>
      <c r="D196" s="16"/>
      <c r="E196" s="16"/>
      <c r="F196" s="16"/>
      <c r="G196" s="16"/>
      <c r="H196" s="45"/>
      <c r="I196" s="45"/>
      <c r="J196" s="11" t="str">
        <f aca="false">IF(I196="","",LEN(I196))</f>
        <v/>
      </c>
      <c r="K196" s="16"/>
      <c r="L196" s="16"/>
      <c r="M196" s="11" t="str">
        <f aca="false">IF(L196="","",IFERROR(INDEX('Hashtag Bank'!$E$5:$E$104,MATCH(L196,'Hashtag Bank'!$B$5:$B$104,0)),""))</f>
        <v/>
      </c>
      <c r="N196" s="16"/>
      <c r="O196" s="16"/>
      <c r="P196" s="16"/>
      <c r="Q196" s="46" t="str">
        <f aca="true">IF(A196&amp;H196="","",TRIM(IF(AND(A196&lt;&gt;"",A196&lt;TODAY(),O196&lt;&gt;"Published",O196&lt;&gt;"Repurpose"),"⚠ Overdue ","")&amp;IF(AND(J196&lt;&gt;"",D196&lt;&gt;"",IFERROR(J196&gt;INDEX(Setup!$E$9:$E$18,MATCH(D196,Setup!$B$9:$B$18,0)),FALSE())),"✂ Caption too long ","")&amp;IF(AND(M196&lt;&gt;"",D196&lt;&gt;"",IFERROR(M196&gt;INDEX(Setup!$F$9:$F$18,MATCH(D196,Setup!$B$9:$B$18,0)),FALSE())),"# Too many tags","")))</f>
        <v/>
      </c>
      <c r="R196" s="16"/>
      <c r="S196" s="19"/>
      <c r="T196" s="19"/>
      <c r="U196" s="19"/>
      <c r="V196" s="19"/>
      <c r="W196" s="19"/>
      <c r="X196" s="19"/>
      <c r="Y196" s="19"/>
      <c r="Z196" s="47" t="str">
        <f aca="false">IF(COUNT(U196:X196)=0,"",SUM(U196:X196))</f>
        <v/>
      </c>
      <c r="AA196" s="48" t="str">
        <f aca="false">IF(OR(Z196="",N(T196)=0),"",Z196/T196)</f>
        <v/>
      </c>
      <c r="AB196" s="45"/>
      <c r="AC196" s="51" t="str">
        <f aca="false">IF(A196="","",A196+N(C196)+ROW()/10^7)</f>
        <v/>
      </c>
      <c r="AD196" s="51" t="str">
        <f aca="false">IF(A196="","",TEXT(A196,"0")&amp;"|"&amp;COUNTIFS('Content Log'!$A$5:$A$504,A196,'Content Log'!$AC$5:$AC$504,"&lt;="&amp;AC196))</f>
        <v/>
      </c>
      <c r="AE196" s="51" t="str">
        <f aca="false">IF(A196="","",IFERROR(INDEX(Setup!$N$9:$N$14,MATCH(O196,Setup!$M$9:$M$14,0))&amp;" ","")&amp;IF(C196="","",TEXT(C196,"h:mm AM/PM")&amp;" ")&amp;D196&amp;IF(H196="",""," · "&amp;H196))</f>
        <v/>
      </c>
      <c r="AF196" s="51" t="str">
        <f aca="false">IF(OR(A196="",AA196=""),"",IF(AND(A196&gt;=Dashboard!$G$4,A196&lt;=Dashboard!$I$4),AA196+ROW()/10^9,""))</f>
        <v/>
      </c>
      <c r="AG196" s="51" t="str">
        <f aca="false">IF(A196="","",WEEKDAY(A196,2))</f>
        <v/>
      </c>
    </row>
    <row r="197" customFormat="false" ht="15" hidden="false" customHeight="false" outlineLevel="0" collapsed="false">
      <c r="A197" s="43"/>
      <c r="B197" s="11" t="str">
        <f aca="false">IF(A197="","",TEXT(A197,"ddd"))</f>
        <v/>
      </c>
      <c r="C197" s="44"/>
      <c r="D197" s="16"/>
      <c r="E197" s="16"/>
      <c r="F197" s="16"/>
      <c r="G197" s="16"/>
      <c r="H197" s="45"/>
      <c r="I197" s="45"/>
      <c r="J197" s="11" t="str">
        <f aca="false">IF(I197="","",LEN(I197))</f>
        <v/>
      </c>
      <c r="K197" s="16"/>
      <c r="L197" s="16"/>
      <c r="M197" s="11" t="str">
        <f aca="false">IF(L197="","",IFERROR(INDEX('Hashtag Bank'!$E$5:$E$104,MATCH(L197,'Hashtag Bank'!$B$5:$B$104,0)),""))</f>
        <v/>
      </c>
      <c r="N197" s="16"/>
      <c r="O197" s="16"/>
      <c r="P197" s="16"/>
      <c r="Q197" s="46" t="str">
        <f aca="true">IF(A197&amp;H197="","",TRIM(IF(AND(A197&lt;&gt;"",A197&lt;TODAY(),O197&lt;&gt;"Published",O197&lt;&gt;"Repurpose"),"⚠ Overdue ","")&amp;IF(AND(J197&lt;&gt;"",D197&lt;&gt;"",IFERROR(J197&gt;INDEX(Setup!$E$9:$E$18,MATCH(D197,Setup!$B$9:$B$18,0)),FALSE())),"✂ Caption too long ","")&amp;IF(AND(M197&lt;&gt;"",D197&lt;&gt;"",IFERROR(M197&gt;INDEX(Setup!$F$9:$F$18,MATCH(D197,Setup!$B$9:$B$18,0)),FALSE())),"# Too many tags","")))</f>
        <v/>
      </c>
      <c r="R197" s="16"/>
      <c r="S197" s="19"/>
      <c r="T197" s="19"/>
      <c r="U197" s="19"/>
      <c r="V197" s="19"/>
      <c r="W197" s="19"/>
      <c r="X197" s="19"/>
      <c r="Y197" s="19"/>
      <c r="Z197" s="47" t="str">
        <f aca="false">IF(COUNT(U197:X197)=0,"",SUM(U197:X197))</f>
        <v/>
      </c>
      <c r="AA197" s="48" t="str">
        <f aca="false">IF(OR(Z197="",N(T197)=0),"",Z197/T197)</f>
        <v/>
      </c>
      <c r="AB197" s="45"/>
      <c r="AC197" s="51" t="str">
        <f aca="false">IF(A197="","",A197+N(C197)+ROW()/10^7)</f>
        <v/>
      </c>
      <c r="AD197" s="51" t="str">
        <f aca="false">IF(A197="","",TEXT(A197,"0")&amp;"|"&amp;COUNTIFS('Content Log'!$A$5:$A$504,A197,'Content Log'!$AC$5:$AC$504,"&lt;="&amp;AC197))</f>
        <v/>
      </c>
      <c r="AE197" s="51" t="str">
        <f aca="false">IF(A197="","",IFERROR(INDEX(Setup!$N$9:$N$14,MATCH(O197,Setup!$M$9:$M$14,0))&amp;" ","")&amp;IF(C197="","",TEXT(C197,"h:mm AM/PM")&amp;" ")&amp;D197&amp;IF(H197="",""," · "&amp;H197))</f>
        <v/>
      </c>
      <c r="AF197" s="51" t="str">
        <f aca="false">IF(OR(A197="",AA197=""),"",IF(AND(A197&gt;=Dashboard!$G$4,A197&lt;=Dashboard!$I$4),AA197+ROW()/10^9,""))</f>
        <v/>
      </c>
      <c r="AG197" s="51" t="str">
        <f aca="false">IF(A197="","",WEEKDAY(A197,2))</f>
        <v/>
      </c>
    </row>
    <row r="198" customFormat="false" ht="15" hidden="false" customHeight="false" outlineLevel="0" collapsed="false">
      <c r="A198" s="43"/>
      <c r="B198" s="11" t="str">
        <f aca="false">IF(A198="","",TEXT(A198,"ddd"))</f>
        <v/>
      </c>
      <c r="C198" s="44"/>
      <c r="D198" s="16"/>
      <c r="E198" s="16"/>
      <c r="F198" s="16"/>
      <c r="G198" s="16"/>
      <c r="H198" s="45"/>
      <c r="I198" s="45"/>
      <c r="J198" s="11" t="str">
        <f aca="false">IF(I198="","",LEN(I198))</f>
        <v/>
      </c>
      <c r="K198" s="16"/>
      <c r="L198" s="16"/>
      <c r="M198" s="11" t="str">
        <f aca="false">IF(L198="","",IFERROR(INDEX('Hashtag Bank'!$E$5:$E$104,MATCH(L198,'Hashtag Bank'!$B$5:$B$104,0)),""))</f>
        <v/>
      </c>
      <c r="N198" s="16"/>
      <c r="O198" s="16"/>
      <c r="P198" s="16"/>
      <c r="Q198" s="46" t="str">
        <f aca="true">IF(A198&amp;H198="","",TRIM(IF(AND(A198&lt;&gt;"",A198&lt;TODAY(),O198&lt;&gt;"Published",O198&lt;&gt;"Repurpose"),"⚠ Overdue ","")&amp;IF(AND(J198&lt;&gt;"",D198&lt;&gt;"",IFERROR(J198&gt;INDEX(Setup!$E$9:$E$18,MATCH(D198,Setup!$B$9:$B$18,0)),FALSE())),"✂ Caption too long ","")&amp;IF(AND(M198&lt;&gt;"",D198&lt;&gt;"",IFERROR(M198&gt;INDEX(Setup!$F$9:$F$18,MATCH(D198,Setup!$B$9:$B$18,0)),FALSE())),"# Too many tags","")))</f>
        <v/>
      </c>
      <c r="R198" s="16"/>
      <c r="S198" s="19"/>
      <c r="T198" s="19"/>
      <c r="U198" s="19"/>
      <c r="V198" s="19"/>
      <c r="W198" s="19"/>
      <c r="X198" s="19"/>
      <c r="Y198" s="19"/>
      <c r="Z198" s="47" t="str">
        <f aca="false">IF(COUNT(U198:X198)=0,"",SUM(U198:X198))</f>
        <v/>
      </c>
      <c r="AA198" s="48" t="str">
        <f aca="false">IF(OR(Z198="",N(T198)=0),"",Z198/T198)</f>
        <v/>
      </c>
      <c r="AB198" s="45"/>
      <c r="AC198" s="51" t="str">
        <f aca="false">IF(A198="","",A198+N(C198)+ROW()/10^7)</f>
        <v/>
      </c>
      <c r="AD198" s="51" t="str">
        <f aca="false">IF(A198="","",TEXT(A198,"0")&amp;"|"&amp;COUNTIFS('Content Log'!$A$5:$A$504,A198,'Content Log'!$AC$5:$AC$504,"&lt;="&amp;AC198))</f>
        <v/>
      </c>
      <c r="AE198" s="51" t="str">
        <f aca="false">IF(A198="","",IFERROR(INDEX(Setup!$N$9:$N$14,MATCH(O198,Setup!$M$9:$M$14,0))&amp;" ","")&amp;IF(C198="","",TEXT(C198,"h:mm AM/PM")&amp;" ")&amp;D198&amp;IF(H198="",""," · "&amp;H198))</f>
        <v/>
      </c>
      <c r="AF198" s="51" t="str">
        <f aca="false">IF(OR(A198="",AA198=""),"",IF(AND(A198&gt;=Dashboard!$G$4,A198&lt;=Dashboard!$I$4),AA198+ROW()/10^9,""))</f>
        <v/>
      </c>
      <c r="AG198" s="51" t="str">
        <f aca="false">IF(A198="","",WEEKDAY(A198,2))</f>
        <v/>
      </c>
    </row>
    <row r="199" customFormat="false" ht="15" hidden="false" customHeight="false" outlineLevel="0" collapsed="false">
      <c r="A199" s="43"/>
      <c r="B199" s="11" t="str">
        <f aca="false">IF(A199="","",TEXT(A199,"ddd"))</f>
        <v/>
      </c>
      <c r="C199" s="44"/>
      <c r="D199" s="16"/>
      <c r="E199" s="16"/>
      <c r="F199" s="16"/>
      <c r="G199" s="16"/>
      <c r="H199" s="45"/>
      <c r="I199" s="45"/>
      <c r="J199" s="11" t="str">
        <f aca="false">IF(I199="","",LEN(I199))</f>
        <v/>
      </c>
      <c r="K199" s="16"/>
      <c r="L199" s="16"/>
      <c r="M199" s="11" t="str">
        <f aca="false">IF(L199="","",IFERROR(INDEX('Hashtag Bank'!$E$5:$E$104,MATCH(L199,'Hashtag Bank'!$B$5:$B$104,0)),""))</f>
        <v/>
      </c>
      <c r="N199" s="16"/>
      <c r="O199" s="16"/>
      <c r="P199" s="16"/>
      <c r="Q199" s="46" t="str">
        <f aca="true">IF(A199&amp;H199="","",TRIM(IF(AND(A199&lt;&gt;"",A199&lt;TODAY(),O199&lt;&gt;"Published",O199&lt;&gt;"Repurpose"),"⚠ Overdue ","")&amp;IF(AND(J199&lt;&gt;"",D199&lt;&gt;"",IFERROR(J199&gt;INDEX(Setup!$E$9:$E$18,MATCH(D199,Setup!$B$9:$B$18,0)),FALSE())),"✂ Caption too long ","")&amp;IF(AND(M199&lt;&gt;"",D199&lt;&gt;"",IFERROR(M199&gt;INDEX(Setup!$F$9:$F$18,MATCH(D199,Setup!$B$9:$B$18,0)),FALSE())),"# Too many tags","")))</f>
        <v/>
      </c>
      <c r="R199" s="16"/>
      <c r="S199" s="19"/>
      <c r="T199" s="19"/>
      <c r="U199" s="19"/>
      <c r="V199" s="19"/>
      <c r="W199" s="19"/>
      <c r="X199" s="19"/>
      <c r="Y199" s="19"/>
      <c r="Z199" s="47" t="str">
        <f aca="false">IF(COUNT(U199:X199)=0,"",SUM(U199:X199))</f>
        <v/>
      </c>
      <c r="AA199" s="48" t="str">
        <f aca="false">IF(OR(Z199="",N(T199)=0),"",Z199/T199)</f>
        <v/>
      </c>
      <c r="AB199" s="45"/>
      <c r="AC199" s="51" t="str">
        <f aca="false">IF(A199="","",A199+N(C199)+ROW()/10^7)</f>
        <v/>
      </c>
      <c r="AD199" s="51" t="str">
        <f aca="false">IF(A199="","",TEXT(A199,"0")&amp;"|"&amp;COUNTIFS('Content Log'!$A$5:$A$504,A199,'Content Log'!$AC$5:$AC$504,"&lt;="&amp;AC199))</f>
        <v/>
      </c>
      <c r="AE199" s="51" t="str">
        <f aca="false">IF(A199="","",IFERROR(INDEX(Setup!$N$9:$N$14,MATCH(O199,Setup!$M$9:$M$14,0))&amp;" ","")&amp;IF(C199="","",TEXT(C199,"h:mm AM/PM")&amp;" ")&amp;D199&amp;IF(H199="",""," · "&amp;H199))</f>
        <v/>
      </c>
      <c r="AF199" s="51" t="str">
        <f aca="false">IF(OR(A199="",AA199=""),"",IF(AND(A199&gt;=Dashboard!$G$4,A199&lt;=Dashboard!$I$4),AA199+ROW()/10^9,""))</f>
        <v/>
      </c>
      <c r="AG199" s="51" t="str">
        <f aca="false">IF(A199="","",WEEKDAY(A199,2))</f>
        <v/>
      </c>
    </row>
    <row r="200" customFormat="false" ht="15" hidden="false" customHeight="false" outlineLevel="0" collapsed="false">
      <c r="A200" s="43"/>
      <c r="B200" s="11" t="str">
        <f aca="false">IF(A200="","",TEXT(A200,"ddd"))</f>
        <v/>
      </c>
      <c r="C200" s="44"/>
      <c r="D200" s="16"/>
      <c r="E200" s="16"/>
      <c r="F200" s="16"/>
      <c r="G200" s="16"/>
      <c r="H200" s="45"/>
      <c r="I200" s="45"/>
      <c r="J200" s="11" t="str">
        <f aca="false">IF(I200="","",LEN(I200))</f>
        <v/>
      </c>
      <c r="K200" s="16"/>
      <c r="L200" s="16"/>
      <c r="M200" s="11" t="str">
        <f aca="false">IF(L200="","",IFERROR(INDEX('Hashtag Bank'!$E$5:$E$104,MATCH(L200,'Hashtag Bank'!$B$5:$B$104,0)),""))</f>
        <v/>
      </c>
      <c r="N200" s="16"/>
      <c r="O200" s="16"/>
      <c r="P200" s="16"/>
      <c r="Q200" s="46" t="str">
        <f aca="true">IF(A200&amp;H200="","",TRIM(IF(AND(A200&lt;&gt;"",A200&lt;TODAY(),O200&lt;&gt;"Published",O200&lt;&gt;"Repurpose"),"⚠ Overdue ","")&amp;IF(AND(J200&lt;&gt;"",D200&lt;&gt;"",IFERROR(J200&gt;INDEX(Setup!$E$9:$E$18,MATCH(D200,Setup!$B$9:$B$18,0)),FALSE())),"✂ Caption too long ","")&amp;IF(AND(M200&lt;&gt;"",D200&lt;&gt;"",IFERROR(M200&gt;INDEX(Setup!$F$9:$F$18,MATCH(D200,Setup!$B$9:$B$18,0)),FALSE())),"# Too many tags","")))</f>
        <v/>
      </c>
      <c r="R200" s="16"/>
      <c r="S200" s="19"/>
      <c r="T200" s="19"/>
      <c r="U200" s="19"/>
      <c r="V200" s="19"/>
      <c r="W200" s="19"/>
      <c r="X200" s="19"/>
      <c r="Y200" s="19"/>
      <c r="Z200" s="47" t="str">
        <f aca="false">IF(COUNT(U200:X200)=0,"",SUM(U200:X200))</f>
        <v/>
      </c>
      <c r="AA200" s="48" t="str">
        <f aca="false">IF(OR(Z200="",N(T200)=0),"",Z200/T200)</f>
        <v/>
      </c>
      <c r="AB200" s="45"/>
      <c r="AC200" s="51" t="str">
        <f aca="false">IF(A200="","",A200+N(C200)+ROW()/10^7)</f>
        <v/>
      </c>
      <c r="AD200" s="51" t="str">
        <f aca="false">IF(A200="","",TEXT(A200,"0")&amp;"|"&amp;COUNTIFS('Content Log'!$A$5:$A$504,A200,'Content Log'!$AC$5:$AC$504,"&lt;="&amp;AC200))</f>
        <v/>
      </c>
      <c r="AE200" s="51" t="str">
        <f aca="false">IF(A200="","",IFERROR(INDEX(Setup!$N$9:$N$14,MATCH(O200,Setup!$M$9:$M$14,0))&amp;" ","")&amp;IF(C200="","",TEXT(C200,"h:mm AM/PM")&amp;" ")&amp;D200&amp;IF(H200="",""," · "&amp;H200))</f>
        <v/>
      </c>
      <c r="AF200" s="51" t="str">
        <f aca="false">IF(OR(A200="",AA200=""),"",IF(AND(A200&gt;=Dashboard!$G$4,A200&lt;=Dashboard!$I$4),AA200+ROW()/10^9,""))</f>
        <v/>
      </c>
      <c r="AG200" s="51" t="str">
        <f aca="false">IF(A200="","",WEEKDAY(A200,2))</f>
        <v/>
      </c>
    </row>
    <row r="201" customFormat="false" ht="15" hidden="false" customHeight="false" outlineLevel="0" collapsed="false">
      <c r="A201" s="43"/>
      <c r="B201" s="11" t="str">
        <f aca="false">IF(A201="","",TEXT(A201,"ddd"))</f>
        <v/>
      </c>
      <c r="C201" s="44"/>
      <c r="D201" s="16"/>
      <c r="E201" s="16"/>
      <c r="F201" s="16"/>
      <c r="G201" s="16"/>
      <c r="H201" s="45"/>
      <c r="I201" s="45"/>
      <c r="J201" s="11" t="str">
        <f aca="false">IF(I201="","",LEN(I201))</f>
        <v/>
      </c>
      <c r="K201" s="16"/>
      <c r="L201" s="16"/>
      <c r="M201" s="11" t="str">
        <f aca="false">IF(L201="","",IFERROR(INDEX('Hashtag Bank'!$E$5:$E$104,MATCH(L201,'Hashtag Bank'!$B$5:$B$104,0)),""))</f>
        <v/>
      </c>
      <c r="N201" s="16"/>
      <c r="O201" s="16"/>
      <c r="P201" s="16"/>
      <c r="Q201" s="46" t="str">
        <f aca="true">IF(A201&amp;H201="","",TRIM(IF(AND(A201&lt;&gt;"",A201&lt;TODAY(),O201&lt;&gt;"Published",O201&lt;&gt;"Repurpose"),"⚠ Overdue ","")&amp;IF(AND(J201&lt;&gt;"",D201&lt;&gt;"",IFERROR(J201&gt;INDEX(Setup!$E$9:$E$18,MATCH(D201,Setup!$B$9:$B$18,0)),FALSE())),"✂ Caption too long ","")&amp;IF(AND(M201&lt;&gt;"",D201&lt;&gt;"",IFERROR(M201&gt;INDEX(Setup!$F$9:$F$18,MATCH(D201,Setup!$B$9:$B$18,0)),FALSE())),"# Too many tags","")))</f>
        <v/>
      </c>
      <c r="R201" s="16"/>
      <c r="S201" s="19"/>
      <c r="T201" s="19"/>
      <c r="U201" s="19"/>
      <c r="V201" s="19"/>
      <c r="W201" s="19"/>
      <c r="X201" s="19"/>
      <c r="Y201" s="19"/>
      <c r="Z201" s="47" t="str">
        <f aca="false">IF(COUNT(U201:X201)=0,"",SUM(U201:X201))</f>
        <v/>
      </c>
      <c r="AA201" s="48" t="str">
        <f aca="false">IF(OR(Z201="",N(T201)=0),"",Z201/T201)</f>
        <v/>
      </c>
      <c r="AB201" s="45"/>
      <c r="AC201" s="51" t="str">
        <f aca="false">IF(A201="","",A201+N(C201)+ROW()/10^7)</f>
        <v/>
      </c>
      <c r="AD201" s="51" t="str">
        <f aca="false">IF(A201="","",TEXT(A201,"0")&amp;"|"&amp;COUNTIFS('Content Log'!$A$5:$A$504,A201,'Content Log'!$AC$5:$AC$504,"&lt;="&amp;AC201))</f>
        <v/>
      </c>
      <c r="AE201" s="51" t="str">
        <f aca="false">IF(A201="","",IFERROR(INDEX(Setup!$N$9:$N$14,MATCH(O201,Setup!$M$9:$M$14,0))&amp;" ","")&amp;IF(C201="","",TEXT(C201,"h:mm AM/PM")&amp;" ")&amp;D201&amp;IF(H201="",""," · "&amp;H201))</f>
        <v/>
      </c>
      <c r="AF201" s="51" t="str">
        <f aca="false">IF(OR(A201="",AA201=""),"",IF(AND(A201&gt;=Dashboard!$G$4,A201&lt;=Dashboard!$I$4),AA201+ROW()/10^9,""))</f>
        <v/>
      </c>
      <c r="AG201" s="51" t="str">
        <f aca="false">IF(A201="","",WEEKDAY(A201,2))</f>
        <v/>
      </c>
    </row>
    <row r="202" customFormat="false" ht="15" hidden="false" customHeight="false" outlineLevel="0" collapsed="false">
      <c r="A202" s="43"/>
      <c r="B202" s="11" t="str">
        <f aca="false">IF(A202="","",TEXT(A202,"ddd"))</f>
        <v/>
      </c>
      <c r="C202" s="44"/>
      <c r="D202" s="16"/>
      <c r="E202" s="16"/>
      <c r="F202" s="16"/>
      <c r="G202" s="16"/>
      <c r="H202" s="45"/>
      <c r="I202" s="45"/>
      <c r="J202" s="11" t="str">
        <f aca="false">IF(I202="","",LEN(I202))</f>
        <v/>
      </c>
      <c r="K202" s="16"/>
      <c r="L202" s="16"/>
      <c r="M202" s="11" t="str">
        <f aca="false">IF(L202="","",IFERROR(INDEX('Hashtag Bank'!$E$5:$E$104,MATCH(L202,'Hashtag Bank'!$B$5:$B$104,0)),""))</f>
        <v/>
      </c>
      <c r="N202" s="16"/>
      <c r="O202" s="16"/>
      <c r="P202" s="16"/>
      <c r="Q202" s="46" t="str">
        <f aca="true">IF(A202&amp;H202="","",TRIM(IF(AND(A202&lt;&gt;"",A202&lt;TODAY(),O202&lt;&gt;"Published",O202&lt;&gt;"Repurpose"),"⚠ Overdue ","")&amp;IF(AND(J202&lt;&gt;"",D202&lt;&gt;"",IFERROR(J202&gt;INDEX(Setup!$E$9:$E$18,MATCH(D202,Setup!$B$9:$B$18,0)),FALSE())),"✂ Caption too long ","")&amp;IF(AND(M202&lt;&gt;"",D202&lt;&gt;"",IFERROR(M202&gt;INDEX(Setup!$F$9:$F$18,MATCH(D202,Setup!$B$9:$B$18,0)),FALSE())),"# Too many tags","")))</f>
        <v/>
      </c>
      <c r="R202" s="16"/>
      <c r="S202" s="19"/>
      <c r="T202" s="19"/>
      <c r="U202" s="19"/>
      <c r="V202" s="19"/>
      <c r="W202" s="19"/>
      <c r="X202" s="19"/>
      <c r="Y202" s="19"/>
      <c r="Z202" s="47" t="str">
        <f aca="false">IF(COUNT(U202:X202)=0,"",SUM(U202:X202))</f>
        <v/>
      </c>
      <c r="AA202" s="48" t="str">
        <f aca="false">IF(OR(Z202="",N(T202)=0),"",Z202/T202)</f>
        <v/>
      </c>
      <c r="AB202" s="45"/>
      <c r="AC202" s="51" t="str">
        <f aca="false">IF(A202="","",A202+N(C202)+ROW()/10^7)</f>
        <v/>
      </c>
      <c r="AD202" s="51" t="str">
        <f aca="false">IF(A202="","",TEXT(A202,"0")&amp;"|"&amp;COUNTIFS('Content Log'!$A$5:$A$504,A202,'Content Log'!$AC$5:$AC$504,"&lt;="&amp;AC202))</f>
        <v/>
      </c>
      <c r="AE202" s="51" t="str">
        <f aca="false">IF(A202="","",IFERROR(INDEX(Setup!$N$9:$N$14,MATCH(O202,Setup!$M$9:$M$14,0))&amp;" ","")&amp;IF(C202="","",TEXT(C202,"h:mm AM/PM")&amp;" ")&amp;D202&amp;IF(H202="",""," · "&amp;H202))</f>
        <v/>
      </c>
      <c r="AF202" s="51" t="str">
        <f aca="false">IF(OR(A202="",AA202=""),"",IF(AND(A202&gt;=Dashboard!$G$4,A202&lt;=Dashboard!$I$4),AA202+ROW()/10^9,""))</f>
        <v/>
      </c>
      <c r="AG202" s="51" t="str">
        <f aca="false">IF(A202="","",WEEKDAY(A202,2))</f>
        <v/>
      </c>
    </row>
    <row r="203" customFormat="false" ht="15" hidden="false" customHeight="false" outlineLevel="0" collapsed="false">
      <c r="A203" s="43"/>
      <c r="B203" s="11" t="str">
        <f aca="false">IF(A203="","",TEXT(A203,"ddd"))</f>
        <v/>
      </c>
      <c r="C203" s="44"/>
      <c r="D203" s="16"/>
      <c r="E203" s="16"/>
      <c r="F203" s="16"/>
      <c r="G203" s="16"/>
      <c r="H203" s="45"/>
      <c r="I203" s="45"/>
      <c r="J203" s="11" t="str">
        <f aca="false">IF(I203="","",LEN(I203))</f>
        <v/>
      </c>
      <c r="K203" s="16"/>
      <c r="L203" s="16"/>
      <c r="M203" s="11" t="str">
        <f aca="false">IF(L203="","",IFERROR(INDEX('Hashtag Bank'!$E$5:$E$104,MATCH(L203,'Hashtag Bank'!$B$5:$B$104,0)),""))</f>
        <v/>
      </c>
      <c r="N203" s="16"/>
      <c r="O203" s="16"/>
      <c r="P203" s="16"/>
      <c r="Q203" s="46" t="str">
        <f aca="true">IF(A203&amp;H203="","",TRIM(IF(AND(A203&lt;&gt;"",A203&lt;TODAY(),O203&lt;&gt;"Published",O203&lt;&gt;"Repurpose"),"⚠ Overdue ","")&amp;IF(AND(J203&lt;&gt;"",D203&lt;&gt;"",IFERROR(J203&gt;INDEX(Setup!$E$9:$E$18,MATCH(D203,Setup!$B$9:$B$18,0)),FALSE())),"✂ Caption too long ","")&amp;IF(AND(M203&lt;&gt;"",D203&lt;&gt;"",IFERROR(M203&gt;INDEX(Setup!$F$9:$F$18,MATCH(D203,Setup!$B$9:$B$18,0)),FALSE())),"# Too many tags","")))</f>
        <v/>
      </c>
      <c r="R203" s="16"/>
      <c r="S203" s="19"/>
      <c r="T203" s="19"/>
      <c r="U203" s="19"/>
      <c r="V203" s="19"/>
      <c r="W203" s="19"/>
      <c r="X203" s="19"/>
      <c r="Y203" s="19"/>
      <c r="Z203" s="47" t="str">
        <f aca="false">IF(COUNT(U203:X203)=0,"",SUM(U203:X203))</f>
        <v/>
      </c>
      <c r="AA203" s="48" t="str">
        <f aca="false">IF(OR(Z203="",N(T203)=0),"",Z203/T203)</f>
        <v/>
      </c>
      <c r="AB203" s="45"/>
      <c r="AC203" s="51" t="str">
        <f aca="false">IF(A203="","",A203+N(C203)+ROW()/10^7)</f>
        <v/>
      </c>
      <c r="AD203" s="51" t="str">
        <f aca="false">IF(A203="","",TEXT(A203,"0")&amp;"|"&amp;COUNTIFS('Content Log'!$A$5:$A$504,A203,'Content Log'!$AC$5:$AC$504,"&lt;="&amp;AC203))</f>
        <v/>
      </c>
      <c r="AE203" s="51" t="str">
        <f aca="false">IF(A203="","",IFERROR(INDEX(Setup!$N$9:$N$14,MATCH(O203,Setup!$M$9:$M$14,0))&amp;" ","")&amp;IF(C203="","",TEXT(C203,"h:mm AM/PM")&amp;" ")&amp;D203&amp;IF(H203="",""," · "&amp;H203))</f>
        <v/>
      </c>
      <c r="AF203" s="51" t="str">
        <f aca="false">IF(OR(A203="",AA203=""),"",IF(AND(A203&gt;=Dashboard!$G$4,A203&lt;=Dashboard!$I$4),AA203+ROW()/10^9,""))</f>
        <v/>
      </c>
      <c r="AG203" s="51" t="str">
        <f aca="false">IF(A203="","",WEEKDAY(A203,2))</f>
        <v/>
      </c>
    </row>
    <row r="204" customFormat="false" ht="15" hidden="false" customHeight="false" outlineLevel="0" collapsed="false">
      <c r="A204" s="43"/>
      <c r="B204" s="11" t="str">
        <f aca="false">IF(A204="","",TEXT(A204,"ddd"))</f>
        <v/>
      </c>
      <c r="C204" s="44"/>
      <c r="D204" s="16"/>
      <c r="E204" s="16"/>
      <c r="F204" s="16"/>
      <c r="G204" s="16"/>
      <c r="H204" s="45"/>
      <c r="I204" s="45"/>
      <c r="J204" s="11" t="str">
        <f aca="false">IF(I204="","",LEN(I204))</f>
        <v/>
      </c>
      <c r="K204" s="16"/>
      <c r="L204" s="16"/>
      <c r="M204" s="11" t="str">
        <f aca="false">IF(L204="","",IFERROR(INDEX('Hashtag Bank'!$E$5:$E$104,MATCH(L204,'Hashtag Bank'!$B$5:$B$104,0)),""))</f>
        <v/>
      </c>
      <c r="N204" s="16"/>
      <c r="O204" s="16"/>
      <c r="P204" s="16"/>
      <c r="Q204" s="46" t="str">
        <f aca="true">IF(A204&amp;H204="","",TRIM(IF(AND(A204&lt;&gt;"",A204&lt;TODAY(),O204&lt;&gt;"Published",O204&lt;&gt;"Repurpose"),"⚠ Overdue ","")&amp;IF(AND(J204&lt;&gt;"",D204&lt;&gt;"",IFERROR(J204&gt;INDEX(Setup!$E$9:$E$18,MATCH(D204,Setup!$B$9:$B$18,0)),FALSE())),"✂ Caption too long ","")&amp;IF(AND(M204&lt;&gt;"",D204&lt;&gt;"",IFERROR(M204&gt;INDEX(Setup!$F$9:$F$18,MATCH(D204,Setup!$B$9:$B$18,0)),FALSE())),"# Too many tags","")))</f>
        <v/>
      </c>
      <c r="R204" s="16"/>
      <c r="S204" s="19"/>
      <c r="T204" s="19"/>
      <c r="U204" s="19"/>
      <c r="V204" s="19"/>
      <c r="W204" s="19"/>
      <c r="X204" s="19"/>
      <c r="Y204" s="19"/>
      <c r="Z204" s="47" t="str">
        <f aca="false">IF(COUNT(U204:X204)=0,"",SUM(U204:X204))</f>
        <v/>
      </c>
      <c r="AA204" s="48" t="str">
        <f aca="false">IF(OR(Z204="",N(T204)=0),"",Z204/T204)</f>
        <v/>
      </c>
      <c r="AB204" s="45"/>
      <c r="AC204" s="51" t="str">
        <f aca="false">IF(A204="","",A204+N(C204)+ROW()/10^7)</f>
        <v/>
      </c>
      <c r="AD204" s="51" t="str">
        <f aca="false">IF(A204="","",TEXT(A204,"0")&amp;"|"&amp;COUNTIFS('Content Log'!$A$5:$A$504,A204,'Content Log'!$AC$5:$AC$504,"&lt;="&amp;AC204))</f>
        <v/>
      </c>
      <c r="AE204" s="51" t="str">
        <f aca="false">IF(A204="","",IFERROR(INDEX(Setup!$N$9:$N$14,MATCH(O204,Setup!$M$9:$M$14,0))&amp;" ","")&amp;IF(C204="","",TEXT(C204,"h:mm AM/PM")&amp;" ")&amp;D204&amp;IF(H204="",""," · "&amp;H204))</f>
        <v/>
      </c>
      <c r="AF204" s="51" t="str">
        <f aca="false">IF(OR(A204="",AA204=""),"",IF(AND(A204&gt;=Dashboard!$G$4,A204&lt;=Dashboard!$I$4),AA204+ROW()/10^9,""))</f>
        <v/>
      </c>
      <c r="AG204" s="51" t="str">
        <f aca="false">IF(A204="","",WEEKDAY(A204,2))</f>
        <v/>
      </c>
    </row>
    <row r="205" customFormat="false" ht="15" hidden="false" customHeight="false" outlineLevel="0" collapsed="false">
      <c r="A205" s="43"/>
      <c r="B205" s="11" t="str">
        <f aca="false">IF(A205="","",TEXT(A205,"ddd"))</f>
        <v/>
      </c>
      <c r="C205" s="44"/>
      <c r="D205" s="16"/>
      <c r="E205" s="16"/>
      <c r="F205" s="16"/>
      <c r="G205" s="16"/>
      <c r="H205" s="45"/>
      <c r="I205" s="45"/>
      <c r="J205" s="11" t="str">
        <f aca="false">IF(I205="","",LEN(I205))</f>
        <v/>
      </c>
      <c r="K205" s="16"/>
      <c r="L205" s="16"/>
      <c r="M205" s="11" t="str">
        <f aca="false">IF(L205="","",IFERROR(INDEX('Hashtag Bank'!$E$5:$E$104,MATCH(L205,'Hashtag Bank'!$B$5:$B$104,0)),""))</f>
        <v/>
      </c>
      <c r="N205" s="16"/>
      <c r="O205" s="16"/>
      <c r="P205" s="16"/>
      <c r="Q205" s="46" t="str">
        <f aca="true">IF(A205&amp;H205="","",TRIM(IF(AND(A205&lt;&gt;"",A205&lt;TODAY(),O205&lt;&gt;"Published",O205&lt;&gt;"Repurpose"),"⚠ Overdue ","")&amp;IF(AND(J205&lt;&gt;"",D205&lt;&gt;"",IFERROR(J205&gt;INDEX(Setup!$E$9:$E$18,MATCH(D205,Setup!$B$9:$B$18,0)),FALSE())),"✂ Caption too long ","")&amp;IF(AND(M205&lt;&gt;"",D205&lt;&gt;"",IFERROR(M205&gt;INDEX(Setup!$F$9:$F$18,MATCH(D205,Setup!$B$9:$B$18,0)),FALSE())),"# Too many tags","")))</f>
        <v/>
      </c>
      <c r="R205" s="16"/>
      <c r="S205" s="19"/>
      <c r="T205" s="19"/>
      <c r="U205" s="19"/>
      <c r="V205" s="19"/>
      <c r="W205" s="19"/>
      <c r="X205" s="19"/>
      <c r="Y205" s="19"/>
      <c r="Z205" s="47" t="str">
        <f aca="false">IF(COUNT(U205:X205)=0,"",SUM(U205:X205))</f>
        <v/>
      </c>
      <c r="AA205" s="48" t="str">
        <f aca="false">IF(OR(Z205="",N(T205)=0),"",Z205/T205)</f>
        <v/>
      </c>
      <c r="AB205" s="45"/>
      <c r="AC205" s="51" t="str">
        <f aca="false">IF(A205="","",A205+N(C205)+ROW()/10^7)</f>
        <v/>
      </c>
      <c r="AD205" s="51" t="str">
        <f aca="false">IF(A205="","",TEXT(A205,"0")&amp;"|"&amp;COUNTIFS('Content Log'!$A$5:$A$504,A205,'Content Log'!$AC$5:$AC$504,"&lt;="&amp;AC205))</f>
        <v/>
      </c>
      <c r="AE205" s="51" t="str">
        <f aca="false">IF(A205="","",IFERROR(INDEX(Setup!$N$9:$N$14,MATCH(O205,Setup!$M$9:$M$14,0))&amp;" ","")&amp;IF(C205="","",TEXT(C205,"h:mm AM/PM")&amp;" ")&amp;D205&amp;IF(H205="",""," · "&amp;H205))</f>
        <v/>
      </c>
      <c r="AF205" s="51" t="str">
        <f aca="false">IF(OR(A205="",AA205=""),"",IF(AND(A205&gt;=Dashboard!$G$4,A205&lt;=Dashboard!$I$4),AA205+ROW()/10^9,""))</f>
        <v/>
      </c>
      <c r="AG205" s="51" t="str">
        <f aca="false">IF(A205="","",WEEKDAY(A205,2))</f>
        <v/>
      </c>
    </row>
    <row r="206" customFormat="false" ht="15" hidden="false" customHeight="false" outlineLevel="0" collapsed="false">
      <c r="A206" s="43"/>
      <c r="B206" s="11" t="str">
        <f aca="false">IF(A206="","",TEXT(A206,"ddd"))</f>
        <v/>
      </c>
      <c r="C206" s="44"/>
      <c r="D206" s="16"/>
      <c r="E206" s="16"/>
      <c r="F206" s="16"/>
      <c r="G206" s="16"/>
      <c r="H206" s="45"/>
      <c r="I206" s="45"/>
      <c r="J206" s="11" t="str">
        <f aca="false">IF(I206="","",LEN(I206))</f>
        <v/>
      </c>
      <c r="K206" s="16"/>
      <c r="L206" s="16"/>
      <c r="M206" s="11" t="str">
        <f aca="false">IF(L206="","",IFERROR(INDEX('Hashtag Bank'!$E$5:$E$104,MATCH(L206,'Hashtag Bank'!$B$5:$B$104,0)),""))</f>
        <v/>
      </c>
      <c r="N206" s="16"/>
      <c r="O206" s="16"/>
      <c r="P206" s="16"/>
      <c r="Q206" s="46" t="str">
        <f aca="true">IF(A206&amp;H206="","",TRIM(IF(AND(A206&lt;&gt;"",A206&lt;TODAY(),O206&lt;&gt;"Published",O206&lt;&gt;"Repurpose"),"⚠ Overdue ","")&amp;IF(AND(J206&lt;&gt;"",D206&lt;&gt;"",IFERROR(J206&gt;INDEX(Setup!$E$9:$E$18,MATCH(D206,Setup!$B$9:$B$18,0)),FALSE())),"✂ Caption too long ","")&amp;IF(AND(M206&lt;&gt;"",D206&lt;&gt;"",IFERROR(M206&gt;INDEX(Setup!$F$9:$F$18,MATCH(D206,Setup!$B$9:$B$18,0)),FALSE())),"# Too many tags","")))</f>
        <v/>
      </c>
      <c r="R206" s="16"/>
      <c r="S206" s="19"/>
      <c r="T206" s="19"/>
      <c r="U206" s="19"/>
      <c r="V206" s="19"/>
      <c r="W206" s="19"/>
      <c r="X206" s="19"/>
      <c r="Y206" s="19"/>
      <c r="Z206" s="47" t="str">
        <f aca="false">IF(COUNT(U206:X206)=0,"",SUM(U206:X206))</f>
        <v/>
      </c>
      <c r="AA206" s="48" t="str">
        <f aca="false">IF(OR(Z206="",N(T206)=0),"",Z206/T206)</f>
        <v/>
      </c>
      <c r="AB206" s="45"/>
      <c r="AC206" s="51" t="str">
        <f aca="false">IF(A206="","",A206+N(C206)+ROW()/10^7)</f>
        <v/>
      </c>
      <c r="AD206" s="51" t="str">
        <f aca="false">IF(A206="","",TEXT(A206,"0")&amp;"|"&amp;COUNTIFS('Content Log'!$A$5:$A$504,A206,'Content Log'!$AC$5:$AC$504,"&lt;="&amp;AC206))</f>
        <v/>
      </c>
      <c r="AE206" s="51" t="str">
        <f aca="false">IF(A206="","",IFERROR(INDEX(Setup!$N$9:$N$14,MATCH(O206,Setup!$M$9:$M$14,0))&amp;" ","")&amp;IF(C206="","",TEXT(C206,"h:mm AM/PM")&amp;" ")&amp;D206&amp;IF(H206="",""," · "&amp;H206))</f>
        <v/>
      </c>
      <c r="AF206" s="51" t="str">
        <f aca="false">IF(OR(A206="",AA206=""),"",IF(AND(A206&gt;=Dashboard!$G$4,A206&lt;=Dashboard!$I$4),AA206+ROW()/10^9,""))</f>
        <v/>
      </c>
      <c r="AG206" s="51" t="str">
        <f aca="false">IF(A206="","",WEEKDAY(A206,2))</f>
        <v/>
      </c>
    </row>
    <row r="207" customFormat="false" ht="15" hidden="false" customHeight="false" outlineLevel="0" collapsed="false">
      <c r="A207" s="43"/>
      <c r="B207" s="11" t="str">
        <f aca="false">IF(A207="","",TEXT(A207,"ddd"))</f>
        <v/>
      </c>
      <c r="C207" s="44"/>
      <c r="D207" s="16"/>
      <c r="E207" s="16"/>
      <c r="F207" s="16"/>
      <c r="G207" s="16"/>
      <c r="H207" s="45"/>
      <c r="I207" s="45"/>
      <c r="J207" s="11" t="str">
        <f aca="false">IF(I207="","",LEN(I207))</f>
        <v/>
      </c>
      <c r="K207" s="16"/>
      <c r="L207" s="16"/>
      <c r="M207" s="11" t="str">
        <f aca="false">IF(L207="","",IFERROR(INDEX('Hashtag Bank'!$E$5:$E$104,MATCH(L207,'Hashtag Bank'!$B$5:$B$104,0)),""))</f>
        <v/>
      </c>
      <c r="N207" s="16"/>
      <c r="O207" s="16"/>
      <c r="P207" s="16"/>
      <c r="Q207" s="46" t="str">
        <f aca="true">IF(A207&amp;H207="","",TRIM(IF(AND(A207&lt;&gt;"",A207&lt;TODAY(),O207&lt;&gt;"Published",O207&lt;&gt;"Repurpose"),"⚠ Overdue ","")&amp;IF(AND(J207&lt;&gt;"",D207&lt;&gt;"",IFERROR(J207&gt;INDEX(Setup!$E$9:$E$18,MATCH(D207,Setup!$B$9:$B$18,0)),FALSE())),"✂ Caption too long ","")&amp;IF(AND(M207&lt;&gt;"",D207&lt;&gt;"",IFERROR(M207&gt;INDEX(Setup!$F$9:$F$18,MATCH(D207,Setup!$B$9:$B$18,0)),FALSE())),"# Too many tags","")))</f>
        <v/>
      </c>
      <c r="R207" s="16"/>
      <c r="S207" s="19"/>
      <c r="T207" s="19"/>
      <c r="U207" s="19"/>
      <c r="V207" s="19"/>
      <c r="W207" s="19"/>
      <c r="X207" s="19"/>
      <c r="Y207" s="19"/>
      <c r="Z207" s="47" t="str">
        <f aca="false">IF(COUNT(U207:X207)=0,"",SUM(U207:X207))</f>
        <v/>
      </c>
      <c r="AA207" s="48" t="str">
        <f aca="false">IF(OR(Z207="",N(T207)=0),"",Z207/T207)</f>
        <v/>
      </c>
      <c r="AB207" s="45"/>
      <c r="AC207" s="51" t="str">
        <f aca="false">IF(A207="","",A207+N(C207)+ROW()/10^7)</f>
        <v/>
      </c>
      <c r="AD207" s="51" t="str">
        <f aca="false">IF(A207="","",TEXT(A207,"0")&amp;"|"&amp;COUNTIFS('Content Log'!$A$5:$A$504,A207,'Content Log'!$AC$5:$AC$504,"&lt;="&amp;AC207))</f>
        <v/>
      </c>
      <c r="AE207" s="51" t="str">
        <f aca="false">IF(A207="","",IFERROR(INDEX(Setup!$N$9:$N$14,MATCH(O207,Setup!$M$9:$M$14,0))&amp;" ","")&amp;IF(C207="","",TEXT(C207,"h:mm AM/PM")&amp;" ")&amp;D207&amp;IF(H207="",""," · "&amp;H207))</f>
        <v/>
      </c>
      <c r="AF207" s="51" t="str">
        <f aca="false">IF(OR(A207="",AA207=""),"",IF(AND(A207&gt;=Dashboard!$G$4,A207&lt;=Dashboard!$I$4),AA207+ROW()/10^9,""))</f>
        <v/>
      </c>
      <c r="AG207" s="51" t="str">
        <f aca="false">IF(A207="","",WEEKDAY(A207,2))</f>
        <v/>
      </c>
    </row>
    <row r="208" customFormat="false" ht="15" hidden="false" customHeight="false" outlineLevel="0" collapsed="false">
      <c r="A208" s="43"/>
      <c r="B208" s="11" t="str">
        <f aca="false">IF(A208="","",TEXT(A208,"ddd"))</f>
        <v/>
      </c>
      <c r="C208" s="44"/>
      <c r="D208" s="16"/>
      <c r="E208" s="16"/>
      <c r="F208" s="16"/>
      <c r="G208" s="16"/>
      <c r="H208" s="45"/>
      <c r="I208" s="45"/>
      <c r="J208" s="11" t="str">
        <f aca="false">IF(I208="","",LEN(I208))</f>
        <v/>
      </c>
      <c r="K208" s="16"/>
      <c r="L208" s="16"/>
      <c r="M208" s="11" t="str">
        <f aca="false">IF(L208="","",IFERROR(INDEX('Hashtag Bank'!$E$5:$E$104,MATCH(L208,'Hashtag Bank'!$B$5:$B$104,0)),""))</f>
        <v/>
      </c>
      <c r="N208" s="16"/>
      <c r="O208" s="16"/>
      <c r="P208" s="16"/>
      <c r="Q208" s="46" t="str">
        <f aca="true">IF(A208&amp;H208="","",TRIM(IF(AND(A208&lt;&gt;"",A208&lt;TODAY(),O208&lt;&gt;"Published",O208&lt;&gt;"Repurpose"),"⚠ Overdue ","")&amp;IF(AND(J208&lt;&gt;"",D208&lt;&gt;"",IFERROR(J208&gt;INDEX(Setup!$E$9:$E$18,MATCH(D208,Setup!$B$9:$B$18,0)),FALSE())),"✂ Caption too long ","")&amp;IF(AND(M208&lt;&gt;"",D208&lt;&gt;"",IFERROR(M208&gt;INDEX(Setup!$F$9:$F$18,MATCH(D208,Setup!$B$9:$B$18,0)),FALSE())),"# Too many tags","")))</f>
        <v/>
      </c>
      <c r="R208" s="16"/>
      <c r="S208" s="19"/>
      <c r="T208" s="19"/>
      <c r="U208" s="19"/>
      <c r="V208" s="19"/>
      <c r="W208" s="19"/>
      <c r="X208" s="19"/>
      <c r="Y208" s="19"/>
      <c r="Z208" s="47" t="str">
        <f aca="false">IF(COUNT(U208:X208)=0,"",SUM(U208:X208))</f>
        <v/>
      </c>
      <c r="AA208" s="48" t="str">
        <f aca="false">IF(OR(Z208="",N(T208)=0),"",Z208/T208)</f>
        <v/>
      </c>
      <c r="AB208" s="45"/>
      <c r="AC208" s="51" t="str">
        <f aca="false">IF(A208="","",A208+N(C208)+ROW()/10^7)</f>
        <v/>
      </c>
      <c r="AD208" s="51" t="str">
        <f aca="false">IF(A208="","",TEXT(A208,"0")&amp;"|"&amp;COUNTIFS('Content Log'!$A$5:$A$504,A208,'Content Log'!$AC$5:$AC$504,"&lt;="&amp;AC208))</f>
        <v/>
      </c>
      <c r="AE208" s="51" t="str">
        <f aca="false">IF(A208="","",IFERROR(INDEX(Setup!$N$9:$N$14,MATCH(O208,Setup!$M$9:$M$14,0))&amp;" ","")&amp;IF(C208="","",TEXT(C208,"h:mm AM/PM")&amp;" ")&amp;D208&amp;IF(H208="",""," · "&amp;H208))</f>
        <v/>
      </c>
      <c r="AF208" s="51" t="str">
        <f aca="false">IF(OR(A208="",AA208=""),"",IF(AND(A208&gt;=Dashboard!$G$4,A208&lt;=Dashboard!$I$4),AA208+ROW()/10^9,""))</f>
        <v/>
      </c>
      <c r="AG208" s="51" t="str">
        <f aca="false">IF(A208="","",WEEKDAY(A208,2))</f>
        <v/>
      </c>
    </row>
    <row r="209" customFormat="false" ht="15" hidden="false" customHeight="false" outlineLevel="0" collapsed="false">
      <c r="A209" s="43"/>
      <c r="B209" s="11" t="str">
        <f aca="false">IF(A209="","",TEXT(A209,"ddd"))</f>
        <v/>
      </c>
      <c r="C209" s="44"/>
      <c r="D209" s="16"/>
      <c r="E209" s="16"/>
      <c r="F209" s="16"/>
      <c r="G209" s="16"/>
      <c r="H209" s="45"/>
      <c r="I209" s="45"/>
      <c r="J209" s="11" t="str">
        <f aca="false">IF(I209="","",LEN(I209))</f>
        <v/>
      </c>
      <c r="K209" s="16"/>
      <c r="L209" s="16"/>
      <c r="M209" s="11" t="str">
        <f aca="false">IF(L209="","",IFERROR(INDEX('Hashtag Bank'!$E$5:$E$104,MATCH(L209,'Hashtag Bank'!$B$5:$B$104,0)),""))</f>
        <v/>
      </c>
      <c r="N209" s="16"/>
      <c r="O209" s="16"/>
      <c r="P209" s="16"/>
      <c r="Q209" s="46" t="str">
        <f aca="true">IF(A209&amp;H209="","",TRIM(IF(AND(A209&lt;&gt;"",A209&lt;TODAY(),O209&lt;&gt;"Published",O209&lt;&gt;"Repurpose"),"⚠ Overdue ","")&amp;IF(AND(J209&lt;&gt;"",D209&lt;&gt;"",IFERROR(J209&gt;INDEX(Setup!$E$9:$E$18,MATCH(D209,Setup!$B$9:$B$18,0)),FALSE())),"✂ Caption too long ","")&amp;IF(AND(M209&lt;&gt;"",D209&lt;&gt;"",IFERROR(M209&gt;INDEX(Setup!$F$9:$F$18,MATCH(D209,Setup!$B$9:$B$18,0)),FALSE())),"# Too many tags","")))</f>
        <v/>
      </c>
      <c r="R209" s="16"/>
      <c r="S209" s="19"/>
      <c r="T209" s="19"/>
      <c r="U209" s="19"/>
      <c r="V209" s="19"/>
      <c r="W209" s="19"/>
      <c r="X209" s="19"/>
      <c r="Y209" s="19"/>
      <c r="Z209" s="47" t="str">
        <f aca="false">IF(COUNT(U209:X209)=0,"",SUM(U209:X209))</f>
        <v/>
      </c>
      <c r="AA209" s="48" t="str">
        <f aca="false">IF(OR(Z209="",N(T209)=0),"",Z209/T209)</f>
        <v/>
      </c>
      <c r="AB209" s="45"/>
      <c r="AC209" s="51" t="str">
        <f aca="false">IF(A209="","",A209+N(C209)+ROW()/10^7)</f>
        <v/>
      </c>
      <c r="AD209" s="51" t="str">
        <f aca="false">IF(A209="","",TEXT(A209,"0")&amp;"|"&amp;COUNTIFS('Content Log'!$A$5:$A$504,A209,'Content Log'!$AC$5:$AC$504,"&lt;="&amp;AC209))</f>
        <v/>
      </c>
      <c r="AE209" s="51" t="str">
        <f aca="false">IF(A209="","",IFERROR(INDEX(Setup!$N$9:$N$14,MATCH(O209,Setup!$M$9:$M$14,0))&amp;" ","")&amp;IF(C209="","",TEXT(C209,"h:mm AM/PM")&amp;" ")&amp;D209&amp;IF(H209="",""," · "&amp;H209))</f>
        <v/>
      </c>
      <c r="AF209" s="51" t="str">
        <f aca="false">IF(OR(A209="",AA209=""),"",IF(AND(A209&gt;=Dashboard!$G$4,A209&lt;=Dashboard!$I$4),AA209+ROW()/10^9,""))</f>
        <v/>
      </c>
      <c r="AG209" s="51" t="str">
        <f aca="false">IF(A209="","",WEEKDAY(A209,2))</f>
        <v/>
      </c>
    </row>
    <row r="210" customFormat="false" ht="15" hidden="false" customHeight="false" outlineLevel="0" collapsed="false">
      <c r="A210" s="43"/>
      <c r="B210" s="11" t="str">
        <f aca="false">IF(A210="","",TEXT(A210,"ddd"))</f>
        <v/>
      </c>
      <c r="C210" s="44"/>
      <c r="D210" s="16"/>
      <c r="E210" s="16"/>
      <c r="F210" s="16"/>
      <c r="G210" s="16"/>
      <c r="H210" s="45"/>
      <c r="I210" s="45"/>
      <c r="J210" s="11" t="str">
        <f aca="false">IF(I210="","",LEN(I210))</f>
        <v/>
      </c>
      <c r="K210" s="16"/>
      <c r="L210" s="16"/>
      <c r="M210" s="11" t="str">
        <f aca="false">IF(L210="","",IFERROR(INDEX('Hashtag Bank'!$E$5:$E$104,MATCH(L210,'Hashtag Bank'!$B$5:$B$104,0)),""))</f>
        <v/>
      </c>
      <c r="N210" s="16"/>
      <c r="O210" s="16"/>
      <c r="P210" s="16"/>
      <c r="Q210" s="46" t="str">
        <f aca="true">IF(A210&amp;H210="","",TRIM(IF(AND(A210&lt;&gt;"",A210&lt;TODAY(),O210&lt;&gt;"Published",O210&lt;&gt;"Repurpose"),"⚠ Overdue ","")&amp;IF(AND(J210&lt;&gt;"",D210&lt;&gt;"",IFERROR(J210&gt;INDEX(Setup!$E$9:$E$18,MATCH(D210,Setup!$B$9:$B$18,0)),FALSE())),"✂ Caption too long ","")&amp;IF(AND(M210&lt;&gt;"",D210&lt;&gt;"",IFERROR(M210&gt;INDEX(Setup!$F$9:$F$18,MATCH(D210,Setup!$B$9:$B$18,0)),FALSE())),"# Too many tags","")))</f>
        <v/>
      </c>
      <c r="R210" s="16"/>
      <c r="S210" s="19"/>
      <c r="T210" s="19"/>
      <c r="U210" s="19"/>
      <c r="V210" s="19"/>
      <c r="W210" s="19"/>
      <c r="X210" s="19"/>
      <c r="Y210" s="19"/>
      <c r="Z210" s="47" t="str">
        <f aca="false">IF(COUNT(U210:X210)=0,"",SUM(U210:X210))</f>
        <v/>
      </c>
      <c r="AA210" s="48" t="str">
        <f aca="false">IF(OR(Z210="",N(T210)=0),"",Z210/T210)</f>
        <v/>
      </c>
      <c r="AB210" s="45"/>
      <c r="AC210" s="51" t="str">
        <f aca="false">IF(A210="","",A210+N(C210)+ROW()/10^7)</f>
        <v/>
      </c>
      <c r="AD210" s="51" t="str">
        <f aca="false">IF(A210="","",TEXT(A210,"0")&amp;"|"&amp;COUNTIFS('Content Log'!$A$5:$A$504,A210,'Content Log'!$AC$5:$AC$504,"&lt;="&amp;AC210))</f>
        <v/>
      </c>
      <c r="AE210" s="51" t="str">
        <f aca="false">IF(A210="","",IFERROR(INDEX(Setup!$N$9:$N$14,MATCH(O210,Setup!$M$9:$M$14,0))&amp;" ","")&amp;IF(C210="","",TEXT(C210,"h:mm AM/PM")&amp;" ")&amp;D210&amp;IF(H210="",""," · "&amp;H210))</f>
        <v/>
      </c>
      <c r="AF210" s="51" t="str">
        <f aca="false">IF(OR(A210="",AA210=""),"",IF(AND(A210&gt;=Dashboard!$G$4,A210&lt;=Dashboard!$I$4),AA210+ROW()/10^9,""))</f>
        <v/>
      </c>
      <c r="AG210" s="51" t="str">
        <f aca="false">IF(A210="","",WEEKDAY(A210,2))</f>
        <v/>
      </c>
    </row>
    <row r="211" customFormat="false" ht="15" hidden="false" customHeight="false" outlineLevel="0" collapsed="false">
      <c r="A211" s="43"/>
      <c r="B211" s="11" t="str">
        <f aca="false">IF(A211="","",TEXT(A211,"ddd"))</f>
        <v/>
      </c>
      <c r="C211" s="44"/>
      <c r="D211" s="16"/>
      <c r="E211" s="16"/>
      <c r="F211" s="16"/>
      <c r="G211" s="16"/>
      <c r="H211" s="45"/>
      <c r="I211" s="45"/>
      <c r="J211" s="11" t="str">
        <f aca="false">IF(I211="","",LEN(I211))</f>
        <v/>
      </c>
      <c r="K211" s="16"/>
      <c r="L211" s="16"/>
      <c r="M211" s="11" t="str">
        <f aca="false">IF(L211="","",IFERROR(INDEX('Hashtag Bank'!$E$5:$E$104,MATCH(L211,'Hashtag Bank'!$B$5:$B$104,0)),""))</f>
        <v/>
      </c>
      <c r="N211" s="16"/>
      <c r="O211" s="16"/>
      <c r="P211" s="16"/>
      <c r="Q211" s="46" t="str">
        <f aca="true">IF(A211&amp;H211="","",TRIM(IF(AND(A211&lt;&gt;"",A211&lt;TODAY(),O211&lt;&gt;"Published",O211&lt;&gt;"Repurpose"),"⚠ Overdue ","")&amp;IF(AND(J211&lt;&gt;"",D211&lt;&gt;"",IFERROR(J211&gt;INDEX(Setup!$E$9:$E$18,MATCH(D211,Setup!$B$9:$B$18,0)),FALSE())),"✂ Caption too long ","")&amp;IF(AND(M211&lt;&gt;"",D211&lt;&gt;"",IFERROR(M211&gt;INDEX(Setup!$F$9:$F$18,MATCH(D211,Setup!$B$9:$B$18,0)),FALSE())),"# Too many tags","")))</f>
        <v/>
      </c>
      <c r="R211" s="16"/>
      <c r="S211" s="19"/>
      <c r="T211" s="19"/>
      <c r="U211" s="19"/>
      <c r="V211" s="19"/>
      <c r="W211" s="19"/>
      <c r="X211" s="19"/>
      <c r="Y211" s="19"/>
      <c r="Z211" s="47" t="str">
        <f aca="false">IF(COUNT(U211:X211)=0,"",SUM(U211:X211))</f>
        <v/>
      </c>
      <c r="AA211" s="48" t="str">
        <f aca="false">IF(OR(Z211="",N(T211)=0),"",Z211/T211)</f>
        <v/>
      </c>
      <c r="AB211" s="45"/>
      <c r="AC211" s="51" t="str">
        <f aca="false">IF(A211="","",A211+N(C211)+ROW()/10^7)</f>
        <v/>
      </c>
      <c r="AD211" s="51" t="str">
        <f aca="false">IF(A211="","",TEXT(A211,"0")&amp;"|"&amp;COUNTIFS('Content Log'!$A$5:$A$504,A211,'Content Log'!$AC$5:$AC$504,"&lt;="&amp;AC211))</f>
        <v/>
      </c>
      <c r="AE211" s="51" t="str">
        <f aca="false">IF(A211="","",IFERROR(INDEX(Setup!$N$9:$N$14,MATCH(O211,Setup!$M$9:$M$14,0))&amp;" ","")&amp;IF(C211="","",TEXT(C211,"h:mm AM/PM")&amp;" ")&amp;D211&amp;IF(H211="",""," · "&amp;H211))</f>
        <v/>
      </c>
      <c r="AF211" s="51" t="str">
        <f aca="false">IF(OR(A211="",AA211=""),"",IF(AND(A211&gt;=Dashboard!$G$4,A211&lt;=Dashboard!$I$4),AA211+ROW()/10^9,""))</f>
        <v/>
      </c>
      <c r="AG211" s="51" t="str">
        <f aca="false">IF(A211="","",WEEKDAY(A211,2))</f>
        <v/>
      </c>
    </row>
    <row r="212" customFormat="false" ht="15" hidden="false" customHeight="false" outlineLevel="0" collapsed="false">
      <c r="A212" s="43"/>
      <c r="B212" s="11" t="str">
        <f aca="false">IF(A212="","",TEXT(A212,"ddd"))</f>
        <v/>
      </c>
      <c r="C212" s="44"/>
      <c r="D212" s="16"/>
      <c r="E212" s="16"/>
      <c r="F212" s="16"/>
      <c r="G212" s="16"/>
      <c r="H212" s="45"/>
      <c r="I212" s="45"/>
      <c r="J212" s="11" t="str">
        <f aca="false">IF(I212="","",LEN(I212))</f>
        <v/>
      </c>
      <c r="K212" s="16"/>
      <c r="L212" s="16"/>
      <c r="M212" s="11" t="str">
        <f aca="false">IF(L212="","",IFERROR(INDEX('Hashtag Bank'!$E$5:$E$104,MATCH(L212,'Hashtag Bank'!$B$5:$B$104,0)),""))</f>
        <v/>
      </c>
      <c r="N212" s="16"/>
      <c r="O212" s="16"/>
      <c r="P212" s="16"/>
      <c r="Q212" s="46" t="str">
        <f aca="true">IF(A212&amp;H212="","",TRIM(IF(AND(A212&lt;&gt;"",A212&lt;TODAY(),O212&lt;&gt;"Published",O212&lt;&gt;"Repurpose"),"⚠ Overdue ","")&amp;IF(AND(J212&lt;&gt;"",D212&lt;&gt;"",IFERROR(J212&gt;INDEX(Setup!$E$9:$E$18,MATCH(D212,Setup!$B$9:$B$18,0)),FALSE())),"✂ Caption too long ","")&amp;IF(AND(M212&lt;&gt;"",D212&lt;&gt;"",IFERROR(M212&gt;INDEX(Setup!$F$9:$F$18,MATCH(D212,Setup!$B$9:$B$18,0)),FALSE())),"# Too many tags","")))</f>
        <v/>
      </c>
      <c r="R212" s="16"/>
      <c r="S212" s="19"/>
      <c r="T212" s="19"/>
      <c r="U212" s="19"/>
      <c r="V212" s="19"/>
      <c r="W212" s="19"/>
      <c r="X212" s="19"/>
      <c r="Y212" s="19"/>
      <c r="Z212" s="47" t="str">
        <f aca="false">IF(COUNT(U212:X212)=0,"",SUM(U212:X212))</f>
        <v/>
      </c>
      <c r="AA212" s="48" t="str">
        <f aca="false">IF(OR(Z212="",N(T212)=0),"",Z212/T212)</f>
        <v/>
      </c>
      <c r="AB212" s="45"/>
      <c r="AC212" s="51" t="str">
        <f aca="false">IF(A212="","",A212+N(C212)+ROW()/10^7)</f>
        <v/>
      </c>
      <c r="AD212" s="51" t="str">
        <f aca="false">IF(A212="","",TEXT(A212,"0")&amp;"|"&amp;COUNTIFS('Content Log'!$A$5:$A$504,A212,'Content Log'!$AC$5:$AC$504,"&lt;="&amp;AC212))</f>
        <v/>
      </c>
      <c r="AE212" s="51" t="str">
        <f aca="false">IF(A212="","",IFERROR(INDEX(Setup!$N$9:$N$14,MATCH(O212,Setup!$M$9:$M$14,0))&amp;" ","")&amp;IF(C212="","",TEXT(C212,"h:mm AM/PM")&amp;" ")&amp;D212&amp;IF(H212="",""," · "&amp;H212))</f>
        <v/>
      </c>
      <c r="AF212" s="51" t="str">
        <f aca="false">IF(OR(A212="",AA212=""),"",IF(AND(A212&gt;=Dashboard!$G$4,A212&lt;=Dashboard!$I$4),AA212+ROW()/10^9,""))</f>
        <v/>
      </c>
      <c r="AG212" s="51" t="str">
        <f aca="false">IF(A212="","",WEEKDAY(A212,2))</f>
        <v/>
      </c>
    </row>
    <row r="213" customFormat="false" ht="15" hidden="false" customHeight="false" outlineLevel="0" collapsed="false">
      <c r="A213" s="43"/>
      <c r="B213" s="11" t="str">
        <f aca="false">IF(A213="","",TEXT(A213,"ddd"))</f>
        <v/>
      </c>
      <c r="C213" s="44"/>
      <c r="D213" s="16"/>
      <c r="E213" s="16"/>
      <c r="F213" s="16"/>
      <c r="G213" s="16"/>
      <c r="H213" s="45"/>
      <c r="I213" s="45"/>
      <c r="J213" s="11" t="str">
        <f aca="false">IF(I213="","",LEN(I213))</f>
        <v/>
      </c>
      <c r="K213" s="16"/>
      <c r="L213" s="16"/>
      <c r="M213" s="11" t="str">
        <f aca="false">IF(L213="","",IFERROR(INDEX('Hashtag Bank'!$E$5:$E$104,MATCH(L213,'Hashtag Bank'!$B$5:$B$104,0)),""))</f>
        <v/>
      </c>
      <c r="N213" s="16"/>
      <c r="O213" s="16"/>
      <c r="P213" s="16"/>
      <c r="Q213" s="46" t="str">
        <f aca="true">IF(A213&amp;H213="","",TRIM(IF(AND(A213&lt;&gt;"",A213&lt;TODAY(),O213&lt;&gt;"Published",O213&lt;&gt;"Repurpose"),"⚠ Overdue ","")&amp;IF(AND(J213&lt;&gt;"",D213&lt;&gt;"",IFERROR(J213&gt;INDEX(Setup!$E$9:$E$18,MATCH(D213,Setup!$B$9:$B$18,0)),FALSE())),"✂ Caption too long ","")&amp;IF(AND(M213&lt;&gt;"",D213&lt;&gt;"",IFERROR(M213&gt;INDEX(Setup!$F$9:$F$18,MATCH(D213,Setup!$B$9:$B$18,0)),FALSE())),"# Too many tags","")))</f>
        <v/>
      </c>
      <c r="R213" s="16"/>
      <c r="S213" s="19"/>
      <c r="T213" s="19"/>
      <c r="U213" s="19"/>
      <c r="V213" s="19"/>
      <c r="W213" s="19"/>
      <c r="X213" s="19"/>
      <c r="Y213" s="19"/>
      <c r="Z213" s="47" t="str">
        <f aca="false">IF(COUNT(U213:X213)=0,"",SUM(U213:X213))</f>
        <v/>
      </c>
      <c r="AA213" s="48" t="str">
        <f aca="false">IF(OR(Z213="",N(T213)=0),"",Z213/T213)</f>
        <v/>
      </c>
      <c r="AB213" s="45"/>
      <c r="AC213" s="51" t="str">
        <f aca="false">IF(A213="","",A213+N(C213)+ROW()/10^7)</f>
        <v/>
      </c>
      <c r="AD213" s="51" t="str">
        <f aca="false">IF(A213="","",TEXT(A213,"0")&amp;"|"&amp;COUNTIFS('Content Log'!$A$5:$A$504,A213,'Content Log'!$AC$5:$AC$504,"&lt;="&amp;AC213))</f>
        <v/>
      </c>
      <c r="AE213" s="51" t="str">
        <f aca="false">IF(A213="","",IFERROR(INDEX(Setup!$N$9:$N$14,MATCH(O213,Setup!$M$9:$M$14,0))&amp;" ","")&amp;IF(C213="","",TEXT(C213,"h:mm AM/PM")&amp;" ")&amp;D213&amp;IF(H213="",""," · "&amp;H213))</f>
        <v/>
      </c>
      <c r="AF213" s="51" t="str">
        <f aca="false">IF(OR(A213="",AA213=""),"",IF(AND(A213&gt;=Dashboard!$G$4,A213&lt;=Dashboard!$I$4),AA213+ROW()/10^9,""))</f>
        <v/>
      </c>
      <c r="AG213" s="51" t="str">
        <f aca="false">IF(A213="","",WEEKDAY(A213,2))</f>
        <v/>
      </c>
    </row>
    <row r="214" customFormat="false" ht="15" hidden="false" customHeight="false" outlineLevel="0" collapsed="false">
      <c r="A214" s="43"/>
      <c r="B214" s="11" t="str">
        <f aca="false">IF(A214="","",TEXT(A214,"ddd"))</f>
        <v/>
      </c>
      <c r="C214" s="44"/>
      <c r="D214" s="16"/>
      <c r="E214" s="16"/>
      <c r="F214" s="16"/>
      <c r="G214" s="16"/>
      <c r="H214" s="45"/>
      <c r="I214" s="45"/>
      <c r="J214" s="11" t="str">
        <f aca="false">IF(I214="","",LEN(I214))</f>
        <v/>
      </c>
      <c r="K214" s="16"/>
      <c r="L214" s="16"/>
      <c r="M214" s="11" t="str">
        <f aca="false">IF(L214="","",IFERROR(INDEX('Hashtag Bank'!$E$5:$E$104,MATCH(L214,'Hashtag Bank'!$B$5:$B$104,0)),""))</f>
        <v/>
      </c>
      <c r="N214" s="16"/>
      <c r="O214" s="16"/>
      <c r="P214" s="16"/>
      <c r="Q214" s="46" t="str">
        <f aca="true">IF(A214&amp;H214="","",TRIM(IF(AND(A214&lt;&gt;"",A214&lt;TODAY(),O214&lt;&gt;"Published",O214&lt;&gt;"Repurpose"),"⚠ Overdue ","")&amp;IF(AND(J214&lt;&gt;"",D214&lt;&gt;"",IFERROR(J214&gt;INDEX(Setup!$E$9:$E$18,MATCH(D214,Setup!$B$9:$B$18,0)),FALSE())),"✂ Caption too long ","")&amp;IF(AND(M214&lt;&gt;"",D214&lt;&gt;"",IFERROR(M214&gt;INDEX(Setup!$F$9:$F$18,MATCH(D214,Setup!$B$9:$B$18,0)),FALSE())),"# Too many tags","")))</f>
        <v/>
      </c>
      <c r="R214" s="16"/>
      <c r="S214" s="19"/>
      <c r="T214" s="19"/>
      <c r="U214" s="19"/>
      <c r="V214" s="19"/>
      <c r="W214" s="19"/>
      <c r="X214" s="19"/>
      <c r="Y214" s="19"/>
      <c r="Z214" s="47" t="str">
        <f aca="false">IF(COUNT(U214:X214)=0,"",SUM(U214:X214))</f>
        <v/>
      </c>
      <c r="AA214" s="48" t="str">
        <f aca="false">IF(OR(Z214="",N(T214)=0),"",Z214/T214)</f>
        <v/>
      </c>
      <c r="AB214" s="45"/>
      <c r="AC214" s="51" t="str">
        <f aca="false">IF(A214="","",A214+N(C214)+ROW()/10^7)</f>
        <v/>
      </c>
      <c r="AD214" s="51" t="str">
        <f aca="false">IF(A214="","",TEXT(A214,"0")&amp;"|"&amp;COUNTIFS('Content Log'!$A$5:$A$504,A214,'Content Log'!$AC$5:$AC$504,"&lt;="&amp;AC214))</f>
        <v/>
      </c>
      <c r="AE214" s="51" t="str">
        <f aca="false">IF(A214="","",IFERROR(INDEX(Setup!$N$9:$N$14,MATCH(O214,Setup!$M$9:$M$14,0))&amp;" ","")&amp;IF(C214="","",TEXT(C214,"h:mm AM/PM")&amp;" ")&amp;D214&amp;IF(H214="",""," · "&amp;H214))</f>
        <v/>
      </c>
      <c r="AF214" s="51" t="str">
        <f aca="false">IF(OR(A214="",AA214=""),"",IF(AND(A214&gt;=Dashboard!$G$4,A214&lt;=Dashboard!$I$4),AA214+ROW()/10^9,""))</f>
        <v/>
      </c>
      <c r="AG214" s="51" t="str">
        <f aca="false">IF(A214="","",WEEKDAY(A214,2))</f>
        <v/>
      </c>
    </row>
    <row r="215" customFormat="false" ht="15" hidden="false" customHeight="false" outlineLevel="0" collapsed="false">
      <c r="A215" s="43"/>
      <c r="B215" s="11" t="str">
        <f aca="false">IF(A215="","",TEXT(A215,"ddd"))</f>
        <v/>
      </c>
      <c r="C215" s="44"/>
      <c r="D215" s="16"/>
      <c r="E215" s="16"/>
      <c r="F215" s="16"/>
      <c r="G215" s="16"/>
      <c r="H215" s="45"/>
      <c r="I215" s="45"/>
      <c r="J215" s="11" t="str">
        <f aca="false">IF(I215="","",LEN(I215))</f>
        <v/>
      </c>
      <c r="K215" s="16"/>
      <c r="L215" s="16"/>
      <c r="M215" s="11" t="str">
        <f aca="false">IF(L215="","",IFERROR(INDEX('Hashtag Bank'!$E$5:$E$104,MATCH(L215,'Hashtag Bank'!$B$5:$B$104,0)),""))</f>
        <v/>
      </c>
      <c r="N215" s="16"/>
      <c r="O215" s="16"/>
      <c r="P215" s="16"/>
      <c r="Q215" s="46" t="str">
        <f aca="true">IF(A215&amp;H215="","",TRIM(IF(AND(A215&lt;&gt;"",A215&lt;TODAY(),O215&lt;&gt;"Published",O215&lt;&gt;"Repurpose"),"⚠ Overdue ","")&amp;IF(AND(J215&lt;&gt;"",D215&lt;&gt;"",IFERROR(J215&gt;INDEX(Setup!$E$9:$E$18,MATCH(D215,Setup!$B$9:$B$18,0)),FALSE())),"✂ Caption too long ","")&amp;IF(AND(M215&lt;&gt;"",D215&lt;&gt;"",IFERROR(M215&gt;INDEX(Setup!$F$9:$F$18,MATCH(D215,Setup!$B$9:$B$18,0)),FALSE())),"# Too many tags","")))</f>
        <v/>
      </c>
      <c r="R215" s="16"/>
      <c r="S215" s="19"/>
      <c r="T215" s="19"/>
      <c r="U215" s="19"/>
      <c r="V215" s="19"/>
      <c r="W215" s="19"/>
      <c r="X215" s="19"/>
      <c r="Y215" s="19"/>
      <c r="Z215" s="47" t="str">
        <f aca="false">IF(COUNT(U215:X215)=0,"",SUM(U215:X215))</f>
        <v/>
      </c>
      <c r="AA215" s="48" t="str">
        <f aca="false">IF(OR(Z215="",N(T215)=0),"",Z215/T215)</f>
        <v/>
      </c>
      <c r="AB215" s="45"/>
      <c r="AC215" s="51" t="str">
        <f aca="false">IF(A215="","",A215+N(C215)+ROW()/10^7)</f>
        <v/>
      </c>
      <c r="AD215" s="51" t="str">
        <f aca="false">IF(A215="","",TEXT(A215,"0")&amp;"|"&amp;COUNTIFS('Content Log'!$A$5:$A$504,A215,'Content Log'!$AC$5:$AC$504,"&lt;="&amp;AC215))</f>
        <v/>
      </c>
      <c r="AE215" s="51" t="str">
        <f aca="false">IF(A215="","",IFERROR(INDEX(Setup!$N$9:$N$14,MATCH(O215,Setup!$M$9:$M$14,0))&amp;" ","")&amp;IF(C215="","",TEXT(C215,"h:mm AM/PM")&amp;" ")&amp;D215&amp;IF(H215="",""," · "&amp;H215))</f>
        <v/>
      </c>
      <c r="AF215" s="51" t="str">
        <f aca="false">IF(OR(A215="",AA215=""),"",IF(AND(A215&gt;=Dashboard!$G$4,A215&lt;=Dashboard!$I$4),AA215+ROW()/10^9,""))</f>
        <v/>
      </c>
      <c r="AG215" s="51" t="str">
        <f aca="false">IF(A215="","",WEEKDAY(A215,2))</f>
        <v/>
      </c>
    </row>
    <row r="216" customFormat="false" ht="15" hidden="false" customHeight="false" outlineLevel="0" collapsed="false">
      <c r="A216" s="43"/>
      <c r="B216" s="11" t="str">
        <f aca="false">IF(A216="","",TEXT(A216,"ddd"))</f>
        <v/>
      </c>
      <c r="C216" s="44"/>
      <c r="D216" s="16"/>
      <c r="E216" s="16"/>
      <c r="F216" s="16"/>
      <c r="G216" s="16"/>
      <c r="H216" s="45"/>
      <c r="I216" s="45"/>
      <c r="J216" s="11" t="str">
        <f aca="false">IF(I216="","",LEN(I216))</f>
        <v/>
      </c>
      <c r="K216" s="16"/>
      <c r="L216" s="16"/>
      <c r="M216" s="11" t="str">
        <f aca="false">IF(L216="","",IFERROR(INDEX('Hashtag Bank'!$E$5:$E$104,MATCH(L216,'Hashtag Bank'!$B$5:$B$104,0)),""))</f>
        <v/>
      </c>
      <c r="N216" s="16"/>
      <c r="O216" s="16"/>
      <c r="P216" s="16"/>
      <c r="Q216" s="46" t="str">
        <f aca="true">IF(A216&amp;H216="","",TRIM(IF(AND(A216&lt;&gt;"",A216&lt;TODAY(),O216&lt;&gt;"Published",O216&lt;&gt;"Repurpose"),"⚠ Overdue ","")&amp;IF(AND(J216&lt;&gt;"",D216&lt;&gt;"",IFERROR(J216&gt;INDEX(Setup!$E$9:$E$18,MATCH(D216,Setup!$B$9:$B$18,0)),FALSE())),"✂ Caption too long ","")&amp;IF(AND(M216&lt;&gt;"",D216&lt;&gt;"",IFERROR(M216&gt;INDEX(Setup!$F$9:$F$18,MATCH(D216,Setup!$B$9:$B$18,0)),FALSE())),"# Too many tags","")))</f>
        <v/>
      </c>
      <c r="R216" s="16"/>
      <c r="S216" s="19"/>
      <c r="T216" s="19"/>
      <c r="U216" s="19"/>
      <c r="V216" s="19"/>
      <c r="W216" s="19"/>
      <c r="X216" s="19"/>
      <c r="Y216" s="19"/>
      <c r="Z216" s="47" t="str">
        <f aca="false">IF(COUNT(U216:X216)=0,"",SUM(U216:X216))</f>
        <v/>
      </c>
      <c r="AA216" s="48" t="str">
        <f aca="false">IF(OR(Z216="",N(T216)=0),"",Z216/T216)</f>
        <v/>
      </c>
      <c r="AB216" s="45"/>
      <c r="AC216" s="51" t="str">
        <f aca="false">IF(A216="","",A216+N(C216)+ROW()/10^7)</f>
        <v/>
      </c>
      <c r="AD216" s="51" t="str">
        <f aca="false">IF(A216="","",TEXT(A216,"0")&amp;"|"&amp;COUNTIFS('Content Log'!$A$5:$A$504,A216,'Content Log'!$AC$5:$AC$504,"&lt;="&amp;AC216))</f>
        <v/>
      </c>
      <c r="AE216" s="51" t="str">
        <f aca="false">IF(A216="","",IFERROR(INDEX(Setup!$N$9:$N$14,MATCH(O216,Setup!$M$9:$M$14,0))&amp;" ","")&amp;IF(C216="","",TEXT(C216,"h:mm AM/PM")&amp;" ")&amp;D216&amp;IF(H216="",""," · "&amp;H216))</f>
        <v/>
      </c>
      <c r="AF216" s="51" t="str">
        <f aca="false">IF(OR(A216="",AA216=""),"",IF(AND(A216&gt;=Dashboard!$G$4,A216&lt;=Dashboard!$I$4),AA216+ROW()/10^9,""))</f>
        <v/>
      </c>
      <c r="AG216" s="51" t="str">
        <f aca="false">IF(A216="","",WEEKDAY(A216,2))</f>
        <v/>
      </c>
    </row>
    <row r="217" customFormat="false" ht="15" hidden="false" customHeight="false" outlineLevel="0" collapsed="false">
      <c r="A217" s="43"/>
      <c r="B217" s="11" t="str">
        <f aca="false">IF(A217="","",TEXT(A217,"ddd"))</f>
        <v/>
      </c>
      <c r="C217" s="44"/>
      <c r="D217" s="16"/>
      <c r="E217" s="16"/>
      <c r="F217" s="16"/>
      <c r="G217" s="16"/>
      <c r="H217" s="45"/>
      <c r="I217" s="45"/>
      <c r="J217" s="11" t="str">
        <f aca="false">IF(I217="","",LEN(I217))</f>
        <v/>
      </c>
      <c r="K217" s="16"/>
      <c r="L217" s="16"/>
      <c r="M217" s="11" t="str">
        <f aca="false">IF(L217="","",IFERROR(INDEX('Hashtag Bank'!$E$5:$E$104,MATCH(L217,'Hashtag Bank'!$B$5:$B$104,0)),""))</f>
        <v/>
      </c>
      <c r="N217" s="16"/>
      <c r="O217" s="16"/>
      <c r="P217" s="16"/>
      <c r="Q217" s="46" t="str">
        <f aca="true">IF(A217&amp;H217="","",TRIM(IF(AND(A217&lt;&gt;"",A217&lt;TODAY(),O217&lt;&gt;"Published",O217&lt;&gt;"Repurpose"),"⚠ Overdue ","")&amp;IF(AND(J217&lt;&gt;"",D217&lt;&gt;"",IFERROR(J217&gt;INDEX(Setup!$E$9:$E$18,MATCH(D217,Setup!$B$9:$B$18,0)),FALSE())),"✂ Caption too long ","")&amp;IF(AND(M217&lt;&gt;"",D217&lt;&gt;"",IFERROR(M217&gt;INDEX(Setup!$F$9:$F$18,MATCH(D217,Setup!$B$9:$B$18,0)),FALSE())),"# Too many tags","")))</f>
        <v/>
      </c>
      <c r="R217" s="16"/>
      <c r="S217" s="19"/>
      <c r="T217" s="19"/>
      <c r="U217" s="19"/>
      <c r="V217" s="19"/>
      <c r="W217" s="19"/>
      <c r="X217" s="19"/>
      <c r="Y217" s="19"/>
      <c r="Z217" s="47" t="str">
        <f aca="false">IF(COUNT(U217:X217)=0,"",SUM(U217:X217))</f>
        <v/>
      </c>
      <c r="AA217" s="48" t="str">
        <f aca="false">IF(OR(Z217="",N(T217)=0),"",Z217/T217)</f>
        <v/>
      </c>
      <c r="AB217" s="45"/>
      <c r="AC217" s="51" t="str">
        <f aca="false">IF(A217="","",A217+N(C217)+ROW()/10^7)</f>
        <v/>
      </c>
      <c r="AD217" s="51" t="str">
        <f aca="false">IF(A217="","",TEXT(A217,"0")&amp;"|"&amp;COUNTIFS('Content Log'!$A$5:$A$504,A217,'Content Log'!$AC$5:$AC$504,"&lt;="&amp;AC217))</f>
        <v/>
      </c>
      <c r="AE217" s="51" t="str">
        <f aca="false">IF(A217="","",IFERROR(INDEX(Setup!$N$9:$N$14,MATCH(O217,Setup!$M$9:$M$14,0))&amp;" ","")&amp;IF(C217="","",TEXT(C217,"h:mm AM/PM")&amp;" ")&amp;D217&amp;IF(H217="",""," · "&amp;H217))</f>
        <v/>
      </c>
      <c r="AF217" s="51" t="str">
        <f aca="false">IF(OR(A217="",AA217=""),"",IF(AND(A217&gt;=Dashboard!$G$4,A217&lt;=Dashboard!$I$4),AA217+ROW()/10^9,""))</f>
        <v/>
      </c>
      <c r="AG217" s="51" t="str">
        <f aca="false">IF(A217="","",WEEKDAY(A217,2))</f>
        <v/>
      </c>
    </row>
    <row r="218" customFormat="false" ht="15" hidden="false" customHeight="false" outlineLevel="0" collapsed="false">
      <c r="A218" s="43"/>
      <c r="B218" s="11" t="str">
        <f aca="false">IF(A218="","",TEXT(A218,"ddd"))</f>
        <v/>
      </c>
      <c r="C218" s="44"/>
      <c r="D218" s="16"/>
      <c r="E218" s="16"/>
      <c r="F218" s="16"/>
      <c r="G218" s="16"/>
      <c r="H218" s="45"/>
      <c r="I218" s="45"/>
      <c r="J218" s="11" t="str">
        <f aca="false">IF(I218="","",LEN(I218))</f>
        <v/>
      </c>
      <c r="K218" s="16"/>
      <c r="L218" s="16"/>
      <c r="M218" s="11" t="str">
        <f aca="false">IF(L218="","",IFERROR(INDEX('Hashtag Bank'!$E$5:$E$104,MATCH(L218,'Hashtag Bank'!$B$5:$B$104,0)),""))</f>
        <v/>
      </c>
      <c r="N218" s="16"/>
      <c r="O218" s="16"/>
      <c r="P218" s="16"/>
      <c r="Q218" s="46" t="str">
        <f aca="true">IF(A218&amp;H218="","",TRIM(IF(AND(A218&lt;&gt;"",A218&lt;TODAY(),O218&lt;&gt;"Published",O218&lt;&gt;"Repurpose"),"⚠ Overdue ","")&amp;IF(AND(J218&lt;&gt;"",D218&lt;&gt;"",IFERROR(J218&gt;INDEX(Setup!$E$9:$E$18,MATCH(D218,Setup!$B$9:$B$18,0)),FALSE())),"✂ Caption too long ","")&amp;IF(AND(M218&lt;&gt;"",D218&lt;&gt;"",IFERROR(M218&gt;INDEX(Setup!$F$9:$F$18,MATCH(D218,Setup!$B$9:$B$18,0)),FALSE())),"# Too many tags","")))</f>
        <v/>
      </c>
      <c r="R218" s="16"/>
      <c r="S218" s="19"/>
      <c r="T218" s="19"/>
      <c r="U218" s="19"/>
      <c r="V218" s="19"/>
      <c r="W218" s="19"/>
      <c r="X218" s="19"/>
      <c r="Y218" s="19"/>
      <c r="Z218" s="47" t="str">
        <f aca="false">IF(COUNT(U218:X218)=0,"",SUM(U218:X218))</f>
        <v/>
      </c>
      <c r="AA218" s="48" t="str">
        <f aca="false">IF(OR(Z218="",N(T218)=0),"",Z218/T218)</f>
        <v/>
      </c>
      <c r="AB218" s="45"/>
      <c r="AC218" s="51" t="str">
        <f aca="false">IF(A218="","",A218+N(C218)+ROW()/10^7)</f>
        <v/>
      </c>
      <c r="AD218" s="51" t="str">
        <f aca="false">IF(A218="","",TEXT(A218,"0")&amp;"|"&amp;COUNTIFS('Content Log'!$A$5:$A$504,A218,'Content Log'!$AC$5:$AC$504,"&lt;="&amp;AC218))</f>
        <v/>
      </c>
      <c r="AE218" s="51" t="str">
        <f aca="false">IF(A218="","",IFERROR(INDEX(Setup!$N$9:$N$14,MATCH(O218,Setup!$M$9:$M$14,0))&amp;" ","")&amp;IF(C218="","",TEXT(C218,"h:mm AM/PM")&amp;" ")&amp;D218&amp;IF(H218="",""," · "&amp;H218))</f>
        <v/>
      </c>
      <c r="AF218" s="51" t="str">
        <f aca="false">IF(OR(A218="",AA218=""),"",IF(AND(A218&gt;=Dashboard!$G$4,A218&lt;=Dashboard!$I$4),AA218+ROW()/10^9,""))</f>
        <v/>
      </c>
      <c r="AG218" s="51" t="str">
        <f aca="false">IF(A218="","",WEEKDAY(A218,2))</f>
        <v/>
      </c>
    </row>
    <row r="219" customFormat="false" ht="15" hidden="false" customHeight="false" outlineLevel="0" collapsed="false">
      <c r="A219" s="43"/>
      <c r="B219" s="11" t="str">
        <f aca="false">IF(A219="","",TEXT(A219,"ddd"))</f>
        <v/>
      </c>
      <c r="C219" s="44"/>
      <c r="D219" s="16"/>
      <c r="E219" s="16"/>
      <c r="F219" s="16"/>
      <c r="G219" s="16"/>
      <c r="H219" s="45"/>
      <c r="I219" s="45"/>
      <c r="J219" s="11" t="str">
        <f aca="false">IF(I219="","",LEN(I219))</f>
        <v/>
      </c>
      <c r="K219" s="16"/>
      <c r="L219" s="16"/>
      <c r="M219" s="11" t="str">
        <f aca="false">IF(L219="","",IFERROR(INDEX('Hashtag Bank'!$E$5:$E$104,MATCH(L219,'Hashtag Bank'!$B$5:$B$104,0)),""))</f>
        <v/>
      </c>
      <c r="N219" s="16"/>
      <c r="O219" s="16"/>
      <c r="P219" s="16"/>
      <c r="Q219" s="46" t="str">
        <f aca="true">IF(A219&amp;H219="","",TRIM(IF(AND(A219&lt;&gt;"",A219&lt;TODAY(),O219&lt;&gt;"Published",O219&lt;&gt;"Repurpose"),"⚠ Overdue ","")&amp;IF(AND(J219&lt;&gt;"",D219&lt;&gt;"",IFERROR(J219&gt;INDEX(Setup!$E$9:$E$18,MATCH(D219,Setup!$B$9:$B$18,0)),FALSE())),"✂ Caption too long ","")&amp;IF(AND(M219&lt;&gt;"",D219&lt;&gt;"",IFERROR(M219&gt;INDEX(Setup!$F$9:$F$18,MATCH(D219,Setup!$B$9:$B$18,0)),FALSE())),"# Too many tags","")))</f>
        <v/>
      </c>
      <c r="R219" s="16"/>
      <c r="S219" s="19"/>
      <c r="T219" s="19"/>
      <c r="U219" s="19"/>
      <c r="V219" s="19"/>
      <c r="W219" s="19"/>
      <c r="X219" s="19"/>
      <c r="Y219" s="19"/>
      <c r="Z219" s="47" t="str">
        <f aca="false">IF(COUNT(U219:X219)=0,"",SUM(U219:X219))</f>
        <v/>
      </c>
      <c r="AA219" s="48" t="str">
        <f aca="false">IF(OR(Z219="",N(T219)=0),"",Z219/T219)</f>
        <v/>
      </c>
      <c r="AB219" s="45"/>
      <c r="AC219" s="51" t="str">
        <f aca="false">IF(A219="","",A219+N(C219)+ROW()/10^7)</f>
        <v/>
      </c>
      <c r="AD219" s="51" t="str">
        <f aca="false">IF(A219="","",TEXT(A219,"0")&amp;"|"&amp;COUNTIFS('Content Log'!$A$5:$A$504,A219,'Content Log'!$AC$5:$AC$504,"&lt;="&amp;AC219))</f>
        <v/>
      </c>
      <c r="AE219" s="51" t="str">
        <f aca="false">IF(A219="","",IFERROR(INDEX(Setup!$N$9:$N$14,MATCH(O219,Setup!$M$9:$M$14,0))&amp;" ","")&amp;IF(C219="","",TEXT(C219,"h:mm AM/PM")&amp;" ")&amp;D219&amp;IF(H219="",""," · "&amp;H219))</f>
        <v/>
      </c>
      <c r="AF219" s="51" t="str">
        <f aca="false">IF(OR(A219="",AA219=""),"",IF(AND(A219&gt;=Dashboard!$G$4,A219&lt;=Dashboard!$I$4),AA219+ROW()/10^9,""))</f>
        <v/>
      </c>
      <c r="AG219" s="51" t="str">
        <f aca="false">IF(A219="","",WEEKDAY(A219,2))</f>
        <v/>
      </c>
    </row>
    <row r="220" customFormat="false" ht="15" hidden="false" customHeight="false" outlineLevel="0" collapsed="false">
      <c r="A220" s="43"/>
      <c r="B220" s="11" t="str">
        <f aca="false">IF(A220="","",TEXT(A220,"ddd"))</f>
        <v/>
      </c>
      <c r="C220" s="44"/>
      <c r="D220" s="16"/>
      <c r="E220" s="16"/>
      <c r="F220" s="16"/>
      <c r="G220" s="16"/>
      <c r="H220" s="45"/>
      <c r="I220" s="45"/>
      <c r="J220" s="11" t="str">
        <f aca="false">IF(I220="","",LEN(I220))</f>
        <v/>
      </c>
      <c r="K220" s="16"/>
      <c r="L220" s="16"/>
      <c r="M220" s="11" t="str">
        <f aca="false">IF(L220="","",IFERROR(INDEX('Hashtag Bank'!$E$5:$E$104,MATCH(L220,'Hashtag Bank'!$B$5:$B$104,0)),""))</f>
        <v/>
      </c>
      <c r="N220" s="16"/>
      <c r="O220" s="16"/>
      <c r="P220" s="16"/>
      <c r="Q220" s="46" t="str">
        <f aca="true">IF(A220&amp;H220="","",TRIM(IF(AND(A220&lt;&gt;"",A220&lt;TODAY(),O220&lt;&gt;"Published",O220&lt;&gt;"Repurpose"),"⚠ Overdue ","")&amp;IF(AND(J220&lt;&gt;"",D220&lt;&gt;"",IFERROR(J220&gt;INDEX(Setup!$E$9:$E$18,MATCH(D220,Setup!$B$9:$B$18,0)),FALSE())),"✂ Caption too long ","")&amp;IF(AND(M220&lt;&gt;"",D220&lt;&gt;"",IFERROR(M220&gt;INDEX(Setup!$F$9:$F$18,MATCH(D220,Setup!$B$9:$B$18,0)),FALSE())),"# Too many tags","")))</f>
        <v/>
      </c>
      <c r="R220" s="16"/>
      <c r="S220" s="19"/>
      <c r="T220" s="19"/>
      <c r="U220" s="19"/>
      <c r="V220" s="19"/>
      <c r="W220" s="19"/>
      <c r="X220" s="19"/>
      <c r="Y220" s="19"/>
      <c r="Z220" s="47" t="str">
        <f aca="false">IF(COUNT(U220:X220)=0,"",SUM(U220:X220))</f>
        <v/>
      </c>
      <c r="AA220" s="48" t="str">
        <f aca="false">IF(OR(Z220="",N(T220)=0),"",Z220/T220)</f>
        <v/>
      </c>
      <c r="AB220" s="45"/>
      <c r="AC220" s="51" t="str">
        <f aca="false">IF(A220="","",A220+N(C220)+ROW()/10^7)</f>
        <v/>
      </c>
      <c r="AD220" s="51" t="str">
        <f aca="false">IF(A220="","",TEXT(A220,"0")&amp;"|"&amp;COUNTIFS('Content Log'!$A$5:$A$504,A220,'Content Log'!$AC$5:$AC$504,"&lt;="&amp;AC220))</f>
        <v/>
      </c>
      <c r="AE220" s="51" t="str">
        <f aca="false">IF(A220="","",IFERROR(INDEX(Setup!$N$9:$N$14,MATCH(O220,Setup!$M$9:$M$14,0))&amp;" ","")&amp;IF(C220="","",TEXT(C220,"h:mm AM/PM")&amp;" ")&amp;D220&amp;IF(H220="",""," · "&amp;H220))</f>
        <v/>
      </c>
      <c r="AF220" s="51" t="str">
        <f aca="false">IF(OR(A220="",AA220=""),"",IF(AND(A220&gt;=Dashboard!$G$4,A220&lt;=Dashboard!$I$4),AA220+ROW()/10^9,""))</f>
        <v/>
      </c>
      <c r="AG220" s="51" t="str">
        <f aca="false">IF(A220="","",WEEKDAY(A220,2))</f>
        <v/>
      </c>
    </row>
    <row r="221" customFormat="false" ht="15" hidden="false" customHeight="false" outlineLevel="0" collapsed="false">
      <c r="A221" s="43"/>
      <c r="B221" s="11" t="str">
        <f aca="false">IF(A221="","",TEXT(A221,"ddd"))</f>
        <v/>
      </c>
      <c r="C221" s="44"/>
      <c r="D221" s="16"/>
      <c r="E221" s="16"/>
      <c r="F221" s="16"/>
      <c r="G221" s="16"/>
      <c r="H221" s="45"/>
      <c r="I221" s="45"/>
      <c r="J221" s="11" t="str">
        <f aca="false">IF(I221="","",LEN(I221))</f>
        <v/>
      </c>
      <c r="K221" s="16"/>
      <c r="L221" s="16"/>
      <c r="M221" s="11" t="str">
        <f aca="false">IF(L221="","",IFERROR(INDEX('Hashtag Bank'!$E$5:$E$104,MATCH(L221,'Hashtag Bank'!$B$5:$B$104,0)),""))</f>
        <v/>
      </c>
      <c r="N221" s="16"/>
      <c r="O221" s="16"/>
      <c r="P221" s="16"/>
      <c r="Q221" s="46" t="str">
        <f aca="true">IF(A221&amp;H221="","",TRIM(IF(AND(A221&lt;&gt;"",A221&lt;TODAY(),O221&lt;&gt;"Published",O221&lt;&gt;"Repurpose"),"⚠ Overdue ","")&amp;IF(AND(J221&lt;&gt;"",D221&lt;&gt;"",IFERROR(J221&gt;INDEX(Setup!$E$9:$E$18,MATCH(D221,Setup!$B$9:$B$18,0)),FALSE())),"✂ Caption too long ","")&amp;IF(AND(M221&lt;&gt;"",D221&lt;&gt;"",IFERROR(M221&gt;INDEX(Setup!$F$9:$F$18,MATCH(D221,Setup!$B$9:$B$18,0)),FALSE())),"# Too many tags","")))</f>
        <v/>
      </c>
      <c r="R221" s="16"/>
      <c r="S221" s="19"/>
      <c r="T221" s="19"/>
      <c r="U221" s="19"/>
      <c r="V221" s="19"/>
      <c r="W221" s="19"/>
      <c r="X221" s="19"/>
      <c r="Y221" s="19"/>
      <c r="Z221" s="47" t="str">
        <f aca="false">IF(COUNT(U221:X221)=0,"",SUM(U221:X221))</f>
        <v/>
      </c>
      <c r="AA221" s="48" t="str">
        <f aca="false">IF(OR(Z221="",N(T221)=0),"",Z221/T221)</f>
        <v/>
      </c>
      <c r="AB221" s="45"/>
      <c r="AC221" s="51" t="str">
        <f aca="false">IF(A221="","",A221+N(C221)+ROW()/10^7)</f>
        <v/>
      </c>
      <c r="AD221" s="51" t="str">
        <f aca="false">IF(A221="","",TEXT(A221,"0")&amp;"|"&amp;COUNTIFS('Content Log'!$A$5:$A$504,A221,'Content Log'!$AC$5:$AC$504,"&lt;="&amp;AC221))</f>
        <v/>
      </c>
      <c r="AE221" s="51" t="str">
        <f aca="false">IF(A221="","",IFERROR(INDEX(Setup!$N$9:$N$14,MATCH(O221,Setup!$M$9:$M$14,0))&amp;" ","")&amp;IF(C221="","",TEXT(C221,"h:mm AM/PM")&amp;" ")&amp;D221&amp;IF(H221="",""," · "&amp;H221))</f>
        <v/>
      </c>
      <c r="AF221" s="51" t="str">
        <f aca="false">IF(OR(A221="",AA221=""),"",IF(AND(A221&gt;=Dashboard!$G$4,A221&lt;=Dashboard!$I$4),AA221+ROW()/10^9,""))</f>
        <v/>
      </c>
      <c r="AG221" s="51" t="str">
        <f aca="false">IF(A221="","",WEEKDAY(A221,2))</f>
        <v/>
      </c>
    </row>
    <row r="222" customFormat="false" ht="15" hidden="false" customHeight="false" outlineLevel="0" collapsed="false">
      <c r="A222" s="43"/>
      <c r="B222" s="11" t="str">
        <f aca="false">IF(A222="","",TEXT(A222,"ddd"))</f>
        <v/>
      </c>
      <c r="C222" s="44"/>
      <c r="D222" s="16"/>
      <c r="E222" s="16"/>
      <c r="F222" s="16"/>
      <c r="G222" s="16"/>
      <c r="H222" s="45"/>
      <c r="I222" s="45"/>
      <c r="J222" s="11" t="str">
        <f aca="false">IF(I222="","",LEN(I222))</f>
        <v/>
      </c>
      <c r="K222" s="16"/>
      <c r="L222" s="16"/>
      <c r="M222" s="11" t="str">
        <f aca="false">IF(L222="","",IFERROR(INDEX('Hashtag Bank'!$E$5:$E$104,MATCH(L222,'Hashtag Bank'!$B$5:$B$104,0)),""))</f>
        <v/>
      </c>
      <c r="N222" s="16"/>
      <c r="O222" s="16"/>
      <c r="P222" s="16"/>
      <c r="Q222" s="46" t="str">
        <f aca="true">IF(A222&amp;H222="","",TRIM(IF(AND(A222&lt;&gt;"",A222&lt;TODAY(),O222&lt;&gt;"Published",O222&lt;&gt;"Repurpose"),"⚠ Overdue ","")&amp;IF(AND(J222&lt;&gt;"",D222&lt;&gt;"",IFERROR(J222&gt;INDEX(Setup!$E$9:$E$18,MATCH(D222,Setup!$B$9:$B$18,0)),FALSE())),"✂ Caption too long ","")&amp;IF(AND(M222&lt;&gt;"",D222&lt;&gt;"",IFERROR(M222&gt;INDEX(Setup!$F$9:$F$18,MATCH(D222,Setup!$B$9:$B$18,0)),FALSE())),"# Too many tags","")))</f>
        <v/>
      </c>
      <c r="R222" s="16"/>
      <c r="S222" s="19"/>
      <c r="T222" s="19"/>
      <c r="U222" s="19"/>
      <c r="V222" s="19"/>
      <c r="W222" s="19"/>
      <c r="X222" s="19"/>
      <c r="Y222" s="19"/>
      <c r="Z222" s="47" t="str">
        <f aca="false">IF(COUNT(U222:X222)=0,"",SUM(U222:X222))</f>
        <v/>
      </c>
      <c r="AA222" s="48" t="str">
        <f aca="false">IF(OR(Z222="",N(T222)=0),"",Z222/T222)</f>
        <v/>
      </c>
      <c r="AB222" s="45"/>
      <c r="AC222" s="51" t="str">
        <f aca="false">IF(A222="","",A222+N(C222)+ROW()/10^7)</f>
        <v/>
      </c>
      <c r="AD222" s="51" t="str">
        <f aca="false">IF(A222="","",TEXT(A222,"0")&amp;"|"&amp;COUNTIFS('Content Log'!$A$5:$A$504,A222,'Content Log'!$AC$5:$AC$504,"&lt;="&amp;AC222))</f>
        <v/>
      </c>
      <c r="AE222" s="51" t="str">
        <f aca="false">IF(A222="","",IFERROR(INDEX(Setup!$N$9:$N$14,MATCH(O222,Setup!$M$9:$M$14,0))&amp;" ","")&amp;IF(C222="","",TEXT(C222,"h:mm AM/PM")&amp;" ")&amp;D222&amp;IF(H222="",""," · "&amp;H222))</f>
        <v/>
      </c>
      <c r="AF222" s="51" t="str">
        <f aca="false">IF(OR(A222="",AA222=""),"",IF(AND(A222&gt;=Dashboard!$G$4,A222&lt;=Dashboard!$I$4),AA222+ROW()/10^9,""))</f>
        <v/>
      </c>
      <c r="AG222" s="51" t="str">
        <f aca="false">IF(A222="","",WEEKDAY(A222,2))</f>
        <v/>
      </c>
    </row>
    <row r="223" customFormat="false" ht="15" hidden="false" customHeight="false" outlineLevel="0" collapsed="false">
      <c r="A223" s="43"/>
      <c r="B223" s="11" t="str">
        <f aca="false">IF(A223="","",TEXT(A223,"ddd"))</f>
        <v/>
      </c>
      <c r="C223" s="44"/>
      <c r="D223" s="16"/>
      <c r="E223" s="16"/>
      <c r="F223" s="16"/>
      <c r="G223" s="16"/>
      <c r="H223" s="45"/>
      <c r="I223" s="45"/>
      <c r="J223" s="11" t="str">
        <f aca="false">IF(I223="","",LEN(I223))</f>
        <v/>
      </c>
      <c r="K223" s="16"/>
      <c r="L223" s="16"/>
      <c r="M223" s="11" t="str">
        <f aca="false">IF(L223="","",IFERROR(INDEX('Hashtag Bank'!$E$5:$E$104,MATCH(L223,'Hashtag Bank'!$B$5:$B$104,0)),""))</f>
        <v/>
      </c>
      <c r="N223" s="16"/>
      <c r="O223" s="16"/>
      <c r="P223" s="16"/>
      <c r="Q223" s="46" t="str">
        <f aca="true">IF(A223&amp;H223="","",TRIM(IF(AND(A223&lt;&gt;"",A223&lt;TODAY(),O223&lt;&gt;"Published",O223&lt;&gt;"Repurpose"),"⚠ Overdue ","")&amp;IF(AND(J223&lt;&gt;"",D223&lt;&gt;"",IFERROR(J223&gt;INDEX(Setup!$E$9:$E$18,MATCH(D223,Setup!$B$9:$B$18,0)),FALSE())),"✂ Caption too long ","")&amp;IF(AND(M223&lt;&gt;"",D223&lt;&gt;"",IFERROR(M223&gt;INDEX(Setup!$F$9:$F$18,MATCH(D223,Setup!$B$9:$B$18,0)),FALSE())),"# Too many tags","")))</f>
        <v/>
      </c>
      <c r="R223" s="16"/>
      <c r="S223" s="19"/>
      <c r="T223" s="19"/>
      <c r="U223" s="19"/>
      <c r="V223" s="19"/>
      <c r="W223" s="19"/>
      <c r="X223" s="19"/>
      <c r="Y223" s="19"/>
      <c r="Z223" s="47" t="str">
        <f aca="false">IF(COUNT(U223:X223)=0,"",SUM(U223:X223))</f>
        <v/>
      </c>
      <c r="AA223" s="48" t="str">
        <f aca="false">IF(OR(Z223="",N(T223)=0),"",Z223/T223)</f>
        <v/>
      </c>
      <c r="AB223" s="45"/>
      <c r="AC223" s="51" t="str">
        <f aca="false">IF(A223="","",A223+N(C223)+ROW()/10^7)</f>
        <v/>
      </c>
      <c r="AD223" s="51" t="str">
        <f aca="false">IF(A223="","",TEXT(A223,"0")&amp;"|"&amp;COUNTIFS('Content Log'!$A$5:$A$504,A223,'Content Log'!$AC$5:$AC$504,"&lt;="&amp;AC223))</f>
        <v/>
      </c>
      <c r="AE223" s="51" t="str">
        <f aca="false">IF(A223="","",IFERROR(INDEX(Setup!$N$9:$N$14,MATCH(O223,Setup!$M$9:$M$14,0))&amp;" ","")&amp;IF(C223="","",TEXT(C223,"h:mm AM/PM")&amp;" ")&amp;D223&amp;IF(H223="",""," · "&amp;H223))</f>
        <v/>
      </c>
      <c r="AF223" s="51" t="str">
        <f aca="false">IF(OR(A223="",AA223=""),"",IF(AND(A223&gt;=Dashboard!$G$4,A223&lt;=Dashboard!$I$4),AA223+ROW()/10^9,""))</f>
        <v/>
      </c>
      <c r="AG223" s="51" t="str">
        <f aca="false">IF(A223="","",WEEKDAY(A223,2))</f>
        <v/>
      </c>
    </row>
    <row r="224" customFormat="false" ht="15" hidden="false" customHeight="false" outlineLevel="0" collapsed="false">
      <c r="A224" s="43"/>
      <c r="B224" s="11" t="str">
        <f aca="false">IF(A224="","",TEXT(A224,"ddd"))</f>
        <v/>
      </c>
      <c r="C224" s="44"/>
      <c r="D224" s="16"/>
      <c r="E224" s="16"/>
      <c r="F224" s="16"/>
      <c r="G224" s="16"/>
      <c r="H224" s="45"/>
      <c r="I224" s="45"/>
      <c r="J224" s="11" t="str">
        <f aca="false">IF(I224="","",LEN(I224))</f>
        <v/>
      </c>
      <c r="K224" s="16"/>
      <c r="L224" s="16"/>
      <c r="M224" s="11" t="str">
        <f aca="false">IF(L224="","",IFERROR(INDEX('Hashtag Bank'!$E$5:$E$104,MATCH(L224,'Hashtag Bank'!$B$5:$B$104,0)),""))</f>
        <v/>
      </c>
      <c r="N224" s="16"/>
      <c r="O224" s="16"/>
      <c r="P224" s="16"/>
      <c r="Q224" s="46" t="str">
        <f aca="true">IF(A224&amp;H224="","",TRIM(IF(AND(A224&lt;&gt;"",A224&lt;TODAY(),O224&lt;&gt;"Published",O224&lt;&gt;"Repurpose"),"⚠ Overdue ","")&amp;IF(AND(J224&lt;&gt;"",D224&lt;&gt;"",IFERROR(J224&gt;INDEX(Setup!$E$9:$E$18,MATCH(D224,Setup!$B$9:$B$18,0)),FALSE())),"✂ Caption too long ","")&amp;IF(AND(M224&lt;&gt;"",D224&lt;&gt;"",IFERROR(M224&gt;INDEX(Setup!$F$9:$F$18,MATCH(D224,Setup!$B$9:$B$18,0)),FALSE())),"# Too many tags","")))</f>
        <v/>
      </c>
      <c r="R224" s="16"/>
      <c r="S224" s="19"/>
      <c r="T224" s="19"/>
      <c r="U224" s="19"/>
      <c r="V224" s="19"/>
      <c r="W224" s="19"/>
      <c r="X224" s="19"/>
      <c r="Y224" s="19"/>
      <c r="Z224" s="47" t="str">
        <f aca="false">IF(COUNT(U224:X224)=0,"",SUM(U224:X224))</f>
        <v/>
      </c>
      <c r="AA224" s="48" t="str">
        <f aca="false">IF(OR(Z224="",N(T224)=0),"",Z224/T224)</f>
        <v/>
      </c>
      <c r="AB224" s="45"/>
      <c r="AC224" s="51" t="str">
        <f aca="false">IF(A224="","",A224+N(C224)+ROW()/10^7)</f>
        <v/>
      </c>
      <c r="AD224" s="51" t="str">
        <f aca="false">IF(A224="","",TEXT(A224,"0")&amp;"|"&amp;COUNTIFS('Content Log'!$A$5:$A$504,A224,'Content Log'!$AC$5:$AC$504,"&lt;="&amp;AC224))</f>
        <v/>
      </c>
      <c r="AE224" s="51" t="str">
        <f aca="false">IF(A224="","",IFERROR(INDEX(Setup!$N$9:$N$14,MATCH(O224,Setup!$M$9:$M$14,0))&amp;" ","")&amp;IF(C224="","",TEXT(C224,"h:mm AM/PM")&amp;" ")&amp;D224&amp;IF(H224="",""," · "&amp;H224))</f>
        <v/>
      </c>
      <c r="AF224" s="51" t="str">
        <f aca="false">IF(OR(A224="",AA224=""),"",IF(AND(A224&gt;=Dashboard!$G$4,A224&lt;=Dashboard!$I$4),AA224+ROW()/10^9,""))</f>
        <v/>
      </c>
      <c r="AG224" s="51" t="str">
        <f aca="false">IF(A224="","",WEEKDAY(A224,2))</f>
        <v/>
      </c>
    </row>
    <row r="225" customFormat="false" ht="15" hidden="false" customHeight="false" outlineLevel="0" collapsed="false">
      <c r="A225" s="43"/>
      <c r="B225" s="11" t="str">
        <f aca="false">IF(A225="","",TEXT(A225,"ddd"))</f>
        <v/>
      </c>
      <c r="C225" s="44"/>
      <c r="D225" s="16"/>
      <c r="E225" s="16"/>
      <c r="F225" s="16"/>
      <c r="G225" s="16"/>
      <c r="H225" s="45"/>
      <c r="I225" s="45"/>
      <c r="J225" s="11" t="str">
        <f aca="false">IF(I225="","",LEN(I225))</f>
        <v/>
      </c>
      <c r="K225" s="16"/>
      <c r="L225" s="16"/>
      <c r="M225" s="11" t="str">
        <f aca="false">IF(L225="","",IFERROR(INDEX('Hashtag Bank'!$E$5:$E$104,MATCH(L225,'Hashtag Bank'!$B$5:$B$104,0)),""))</f>
        <v/>
      </c>
      <c r="N225" s="16"/>
      <c r="O225" s="16"/>
      <c r="P225" s="16"/>
      <c r="Q225" s="46" t="str">
        <f aca="true">IF(A225&amp;H225="","",TRIM(IF(AND(A225&lt;&gt;"",A225&lt;TODAY(),O225&lt;&gt;"Published",O225&lt;&gt;"Repurpose"),"⚠ Overdue ","")&amp;IF(AND(J225&lt;&gt;"",D225&lt;&gt;"",IFERROR(J225&gt;INDEX(Setup!$E$9:$E$18,MATCH(D225,Setup!$B$9:$B$18,0)),FALSE())),"✂ Caption too long ","")&amp;IF(AND(M225&lt;&gt;"",D225&lt;&gt;"",IFERROR(M225&gt;INDEX(Setup!$F$9:$F$18,MATCH(D225,Setup!$B$9:$B$18,0)),FALSE())),"# Too many tags","")))</f>
        <v/>
      </c>
      <c r="R225" s="16"/>
      <c r="S225" s="19"/>
      <c r="T225" s="19"/>
      <c r="U225" s="19"/>
      <c r="V225" s="19"/>
      <c r="W225" s="19"/>
      <c r="X225" s="19"/>
      <c r="Y225" s="19"/>
      <c r="Z225" s="47" t="str">
        <f aca="false">IF(COUNT(U225:X225)=0,"",SUM(U225:X225))</f>
        <v/>
      </c>
      <c r="AA225" s="48" t="str">
        <f aca="false">IF(OR(Z225="",N(T225)=0),"",Z225/T225)</f>
        <v/>
      </c>
      <c r="AB225" s="45"/>
      <c r="AC225" s="51" t="str">
        <f aca="false">IF(A225="","",A225+N(C225)+ROW()/10^7)</f>
        <v/>
      </c>
      <c r="AD225" s="51" t="str">
        <f aca="false">IF(A225="","",TEXT(A225,"0")&amp;"|"&amp;COUNTIFS('Content Log'!$A$5:$A$504,A225,'Content Log'!$AC$5:$AC$504,"&lt;="&amp;AC225))</f>
        <v/>
      </c>
      <c r="AE225" s="51" t="str">
        <f aca="false">IF(A225="","",IFERROR(INDEX(Setup!$N$9:$N$14,MATCH(O225,Setup!$M$9:$M$14,0))&amp;" ","")&amp;IF(C225="","",TEXT(C225,"h:mm AM/PM")&amp;" ")&amp;D225&amp;IF(H225="",""," · "&amp;H225))</f>
        <v/>
      </c>
      <c r="AF225" s="51" t="str">
        <f aca="false">IF(OR(A225="",AA225=""),"",IF(AND(A225&gt;=Dashboard!$G$4,A225&lt;=Dashboard!$I$4),AA225+ROW()/10^9,""))</f>
        <v/>
      </c>
      <c r="AG225" s="51" t="str">
        <f aca="false">IF(A225="","",WEEKDAY(A225,2))</f>
        <v/>
      </c>
    </row>
    <row r="226" customFormat="false" ht="15" hidden="false" customHeight="false" outlineLevel="0" collapsed="false">
      <c r="A226" s="43"/>
      <c r="B226" s="11" t="str">
        <f aca="false">IF(A226="","",TEXT(A226,"ddd"))</f>
        <v/>
      </c>
      <c r="C226" s="44"/>
      <c r="D226" s="16"/>
      <c r="E226" s="16"/>
      <c r="F226" s="16"/>
      <c r="G226" s="16"/>
      <c r="H226" s="45"/>
      <c r="I226" s="45"/>
      <c r="J226" s="11" t="str">
        <f aca="false">IF(I226="","",LEN(I226))</f>
        <v/>
      </c>
      <c r="K226" s="16"/>
      <c r="L226" s="16"/>
      <c r="M226" s="11" t="str">
        <f aca="false">IF(L226="","",IFERROR(INDEX('Hashtag Bank'!$E$5:$E$104,MATCH(L226,'Hashtag Bank'!$B$5:$B$104,0)),""))</f>
        <v/>
      </c>
      <c r="N226" s="16"/>
      <c r="O226" s="16"/>
      <c r="P226" s="16"/>
      <c r="Q226" s="46" t="str">
        <f aca="true">IF(A226&amp;H226="","",TRIM(IF(AND(A226&lt;&gt;"",A226&lt;TODAY(),O226&lt;&gt;"Published",O226&lt;&gt;"Repurpose"),"⚠ Overdue ","")&amp;IF(AND(J226&lt;&gt;"",D226&lt;&gt;"",IFERROR(J226&gt;INDEX(Setup!$E$9:$E$18,MATCH(D226,Setup!$B$9:$B$18,0)),FALSE())),"✂ Caption too long ","")&amp;IF(AND(M226&lt;&gt;"",D226&lt;&gt;"",IFERROR(M226&gt;INDEX(Setup!$F$9:$F$18,MATCH(D226,Setup!$B$9:$B$18,0)),FALSE())),"# Too many tags","")))</f>
        <v/>
      </c>
      <c r="R226" s="16"/>
      <c r="S226" s="19"/>
      <c r="T226" s="19"/>
      <c r="U226" s="19"/>
      <c r="V226" s="19"/>
      <c r="W226" s="19"/>
      <c r="X226" s="19"/>
      <c r="Y226" s="19"/>
      <c r="Z226" s="47" t="str">
        <f aca="false">IF(COUNT(U226:X226)=0,"",SUM(U226:X226))</f>
        <v/>
      </c>
      <c r="AA226" s="48" t="str">
        <f aca="false">IF(OR(Z226="",N(T226)=0),"",Z226/T226)</f>
        <v/>
      </c>
      <c r="AB226" s="45"/>
      <c r="AC226" s="51" t="str">
        <f aca="false">IF(A226="","",A226+N(C226)+ROW()/10^7)</f>
        <v/>
      </c>
      <c r="AD226" s="51" t="str">
        <f aca="false">IF(A226="","",TEXT(A226,"0")&amp;"|"&amp;COUNTIFS('Content Log'!$A$5:$A$504,A226,'Content Log'!$AC$5:$AC$504,"&lt;="&amp;AC226))</f>
        <v/>
      </c>
      <c r="AE226" s="51" t="str">
        <f aca="false">IF(A226="","",IFERROR(INDEX(Setup!$N$9:$N$14,MATCH(O226,Setup!$M$9:$M$14,0))&amp;" ","")&amp;IF(C226="","",TEXT(C226,"h:mm AM/PM")&amp;" ")&amp;D226&amp;IF(H226="",""," · "&amp;H226))</f>
        <v/>
      </c>
      <c r="AF226" s="51" t="str">
        <f aca="false">IF(OR(A226="",AA226=""),"",IF(AND(A226&gt;=Dashboard!$G$4,A226&lt;=Dashboard!$I$4),AA226+ROW()/10^9,""))</f>
        <v/>
      </c>
      <c r="AG226" s="51" t="str">
        <f aca="false">IF(A226="","",WEEKDAY(A226,2))</f>
        <v/>
      </c>
    </row>
    <row r="227" customFormat="false" ht="15" hidden="false" customHeight="false" outlineLevel="0" collapsed="false">
      <c r="A227" s="43"/>
      <c r="B227" s="11" t="str">
        <f aca="false">IF(A227="","",TEXT(A227,"ddd"))</f>
        <v/>
      </c>
      <c r="C227" s="44"/>
      <c r="D227" s="16"/>
      <c r="E227" s="16"/>
      <c r="F227" s="16"/>
      <c r="G227" s="16"/>
      <c r="H227" s="45"/>
      <c r="I227" s="45"/>
      <c r="J227" s="11" t="str">
        <f aca="false">IF(I227="","",LEN(I227))</f>
        <v/>
      </c>
      <c r="K227" s="16"/>
      <c r="L227" s="16"/>
      <c r="M227" s="11" t="str">
        <f aca="false">IF(L227="","",IFERROR(INDEX('Hashtag Bank'!$E$5:$E$104,MATCH(L227,'Hashtag Bank'!$B$5:$B$104,0)),""))</f>
        <v/>
      </c>
      <c r="N227" s="16"/>
      <c r="O227" s="16"/>
      <c r="P227" s="16"/>
      <c r="Q227" s="46" t="str">
        <f aca="true">IF(A227&amp;H227="","",TRIM(IF(AND(A227&lt;&gt;"",A227&lt;TODAY(),O227&lt;&gt;"Published",O227&lt;&gt;"Repurpose"),"⚠ Overdue ","")&amp;IF(AND(J227&lt;&gt;"",D227&lt;&gt;"",IFERROR(J227&gt;INDEX(Setup!$E$9:$E$18,MATCH(D227,Setup!$B$9:$B$18,0)),FALSE())),"✂ Caption too long ","")&amp;IF(AND(M227&lt;&gt;"",D227&lt;&gt;"",IFERROR(M227&gt;INDEX(Setup!$F$9:$F$18,MATCH(D227,Setup!$B$9:$B$18,0)),FALSE())),"# Too many tags","")))</f>
        <v/>
      </c>
      <c r="R227" s="16"/>
      <c r="S227" s="19"/>
      <c r="T227" s="19"/>
      <c r="U227" s="19"/>
      <c r="V227" s="19"/>
      <c r="W227" s="19"/>
      <c r="X227" s="19"/>
      <c r="Y227" s="19"/>
      <c r="Z227" s="47" t="str">
        <f aca="false">IF(COUNT(U227:X227)=0,"",SUM(U227:X227))</f>
        <v/>
      </c>
      <c r="AA227" s="48" t="str">
        <f aca="false">IF(OR(Z227="",N(T227)=0),"",Z227/T227)</f>
        <v/>
      </c>
      <c r="AB227" s="45"/>
      <c r="AC227" s="51" t="str">
        <f aca="false">IF(A227="","",A227+N(C227)+ROW()/10^7)</f>
        <v/>
      </c>
      <c r="AD227" s="51" t="str">
        <f aca="false">IF(A227="","",TEXT(A227,"0")&amp;"|"&amp;COUNTIFS('Content Log'!$A$5:$A$504,A227,'Content Log'!$AC$5:$AC$504,"&lt;="&amp;AC227))</f>
        <v/>
      </c>
      <c r="AE227" s="51" t="str">
        <f aca="false">IF(A227="","",IFERROR(INDEX(Setup!$N$9:$N$14,MATCH(O227,Setup!$M$9:$M$14,0))&amp;" ","")&amp;IF(C227="","",TEXT(C227,"h:mm AM/PM")&amp;" ")&amp;D227&amp;IF(H227="",""," · "&amp;H227))</f>
        <v/>
      </c>
      <c r="AF227" s="51" t="str">
        <f aca="false">IF(OR(A227="",AA227=""),"",IF(AND(A227&gt;=Dashboard!$G$4,A227&lt;=Dashboard!$I$4),AA227+ROW()/10^9,""))</f>
        <v/>
      </c>
      <c r="AG227" s="51" t="str">
        <f aca="false">IF(A227="","",WEEKDAY(A227,2))</f>
        <v/>
      </c>
    </row>
    <row r="228" customFormat="false" ht="15" hidden="false" customHeight="false" outlineLevel="0" collapsed="false">
      <c r="A228" s="43"/>
      <c r="B228" s="11" t="str">
        <f aca="false">IF(A228="","",TEXT(A228,"ddd"))</f>
        <v/>
      </c>
      <c r="C228" s="44"/>
      <c r="D228" s="16"/>
      <c r="E228" s="16"/>
      <c r="F228" s="16"/>
      <c r="G228" s="16"/>
      <c r="H228" s="45"/>
      <c r="I228" s="45"/>
      <c r="J228" s="11" t="str">
        <f aca="false">IF(I228="","",LEN(I228))</f>
        <v/>
      </c>
      <c r="K228" s="16"/>
      <c r="L228" s="16"/>
      <c r="M228" s="11" t="str">
        <f aca="false">IF(L228="","",IFERROR(INDEX('Hashtag Bank'!$E$5:$E$104,MATCH(L228,'Hashtag Bank'!$B$5:$B$104,0)),""))</f>
        <v/>
      </c>
      <c r="N228" s="16"/>
      <c r="O228" s="16"/>
      <c r="P228" s="16"/>
      <c r="Q228" s="46" t="str">
        <f aca="true">IF(A228&amp;H228="","",TRIM(IF(AND(A228&lt;&gt;"",A228&lt;TODAY(),O228&lt;&gt;"Published",O228&lt;&gt;"Repurpose"),"⚠ Overdue ","")&amp;IF(AND(J228&lt;&gt;"",D228&lt;&gt;"",IFERROR(J228&gt;INDEX(Setup!$E$9:$E$18,MATCH(D228,Setup!$B$9:$B$18,0)),FALSE())),"✂ Caption too long ","")&amp;IF(AND(M228&lt;&gt;"",D228&lt;&gt;"",IFERROR(M228&gt;INDEX(Setup!$F$9:$F$18,MATCH(D228,Setup!$B$9:$B$18,0)),FALSE())),"# Too many tags","")))</f>
        <v/>
      </c>
      <c r="R228" s="16"/>
      <c r="S228" s="19"/>
      <c r="T228" s="19"/>
      <c r="U228" s="19"/>
      <c r="V228" s="19"/>
      <c r="W228" s="19"/>
      <c r="X228" s="19"/>
      <c r="Y228" s="19"/>
      <c r="Z228" s="47" t="str">
        <f aca="false">IF(COUNT(U228:X228)=0,"",SUM(U228:X228))</f>
        <v/>
      </c>
      <c r="AA228" s="48" t="str">
        <f aca="false">IF(OR(Z228="",N(T228)=0),"",Z228/T228)</f>
        <v/>
      </c>
      <c r="AB228" s="45"/>
      <c r="AC228" s="51" t="str">
        <f aca="false">IF(A228="","",A228+N(C228)+ROW()/10^7)</f>
        <v/>
      </c>
      <c r="AD228" s="51" t="str">
        <f aca="false">IF(A228="","",TEXT(A228,"0")&amp;"|"&amp;COUNTIFS('Content Log'!$A$5:$A$504,A228,'Content Log'!$AC$5:$AC$504,"&lt;="&amp;AC228))</f>
        <v/>
      </c>
      <c r="AE228" s="51" t="str">
        <f aca="false">IF(A228="","",IFERROR(INDEX(Setup!$N$9:$N$14,MATCH(O228,Setup!$M$9:$M$14,0))&amp;" ","")&amp;IF(C228="","",TEXT(C228,"h:mm AM/PM")&amp;" ")&amp;D228&amp;IF(H228="",""," · "&amp;H228))</f>
        <v/>
      </c>
      <c r="AF228" s="51" t="str">
        <f aca="false">IF(OR(A228="",AA228=""),"",IF(AND(A228&gt;=Dashboard!$G$4,A228&lt;=Dashboard!$I$4),AA228+ROW()/10^9,""))</f>
        <v/>
      </c>
      <c r="AG228" s="51" t="str">
        <f aca="false">IF(A228="","",WEEKDAY(A228,2))</f>
        <v/>
      </c>
    </row>
    <row r="229" customFormat="false" ht="15" hidden="false" customHeight="false" outlineLevel="0" collapsed="false">
      <c r="A229" s="43"/>
      <c r="B229" s="11" t="str">
        <f aca="false">IF(A229="","",TEXT(A229,"ddd"))</f>
        <v/>
      </c>
      <c r="C229" s="44"/>
      <c r="D229" s="16"/>
      <c r="E229" s="16"/>
      <c r="F229" s="16"/>
      <c r="G229" s="16"/>
      <c r="H229" s="45"/>
      <c r="I229" s="45"/>
      <c r="J229" s="11" t="str">
        <f aca="false">IF(I229="","",LEN(I229))</f>
        <v/>
      </c>
      <c r="K229" s="16"/>
      <c r="L229" s="16"/>
      <c r="M229" s="11" t="str">
        <f aca="false">IF(L229="","",IFERROR(INDEX('Hashtag Bank'!$E$5:$E$104,MATCH(L229,'Hashtag Bank'!$B$5:$B$104,0)),""))</f>
        <v/>
      </c>
      <c r="N229" s="16"/>
      <c r="O229" s="16"/>
      <c r="P229" s="16"/>
      <c r="Q229" s="46" t="str">
        <f aca="true">IF(A229&amp;H229="","",TRIM(IF(AND(A229&lt;&gt;"",A229&lt;TODAY(),O229&lt;&gt;"Published",O229&lt;&gt;"Repurpose"),"⚠ Overdue ","")&amp;IF(AND(J229&lt;&gt;"",D229&lt;&gt;"",IFERROR(J229&gt;INDEX(Setup!$E$9:$E$18,MATCH(D229,Setup!$B$9:$B$18,0)),FALSE())),"✂ Caption too long ","")&amp;IF(AND(M229&lt;&gt;"",D229&lt;&gt;"",IFERROR(M229&gt;INDEX(Setup!$F$9:$F$18,MATCH(D229,Setup!$B$9:$B$18,0)),FALSE())),"# Too many tags","")))</f>
        <v/>
      </c>
      <c r="R229" s="16"/>
      <c r="S229" s="19"/>
      <c r="T229" s="19"/>
      <c r="U229" s="19"/>
      <c r="V229" s="19"/>
      <c r="W229" s="19"/>
      <c r="X229" s="19"/>
      <c r="Y229" s="19"/>
      <c r="Z229" s="47" t="str">
        <f aca="false">IF(COUNT(U229:X229)=0,"",SUM(U229:X229))</f>
        <v/>
      </c>
      <c r="AA229" s="48" t="str">
        <f aca="false">IF(OR(Z229="",N(T229)=0),"",Z229/T229)</f>
        <v/>
      </c>
      <c r="AB229" s="45"/>
      <c r="AC229" s="51" t="str">
        <f aca="false">IF(A229="","",A229+N(C229)+ROW()/10^7)</f>
        <v/>
      </c>
      <c r="AD229" s="51" t="str">
        <f aca="false">IF(A229="","",TEXT(A229,"0")&amp;"|"&amp;COUNTIFS('Content Log'!$A$5:$A$504,A229,'Content Log'!$AC$5:$AC$504,"&lt;="&amp;AC229))</f>
        <v/>
      </c>
      <c r="AE229" s="51" t="str">
        <f aca="false">IF(A229="","",IFERROR(INDEX(Setup!$N$9:$N$14,MATCH(O229,Setup!$M$9:$M$14,0))&amp;" ","")&amp;IF(C229="","",TEXT(C229,"h:mm AM/PM")&amp;" ")&amp;D229&amp;IF(H229="",""," · "&amp;H229))</f>
        <v/>
      </c>
      <c r="AF229" s="51" t="str">
        <f aca="false">IF(OR(A229="",AA229=""),"",IF(AND(A229&gt;=Dashboard!$G$4,A229&lt;=Dashboard!$I$4),AA229+ROW()/10^9,""))</f>
        <v/>
      </c>
      <c r="AG229" s="51" t="str">
        <f aca="false">IF(A229="","",WEEKDAY(A229,2))</f>
        <v/>
      </c>
    </row>
    <row r="230" customFormat="false" ht="15" hidden="false" customHeight="false" outlineLevel="0" collapsed="false">
      <c r="A230" s="43"/>
      <c r="B230" s="11" t="str">
        <f aca="false">IF(A230="","",TEXT(A230,"ddd"))</f>
        <v/>
      </c>
      <c r="C230" s="44"/>
      <c r="D230" s="16"/>
      <c r="E230" s="16"/>
      <c r="F230" s="16"/>
      <c r="G230" s="16"/>
      <c r="H230" s="45"/>
      <c r="I230" s="45"/>
      <c r="J230" s="11" t="str">
        <f aca="false">IF(I230="","",LEN(I230))</f>
        <v/>
      </c>
      <c r="K230" s="16"/>
      <c r="L230" s="16"/>
      <c r="M230" s="11" t="str">
        <f aca="false">IF(L230="","",IFERROR(INDEX('Hashtag Bank'!$E$5:$E$104,MATCH(L230,'Hashtag Bank'!$B$5:$B$104,0)),""))</f>
        <v/>
      </c>
      <c r="N230" s="16"/>
      <c r="O230" s="16"/>
      <c r="P230" s="16"/>
      <c r="Q230" s="46" t="str">
        <f aca="true">IF(A230&amp;H230="","",TRIM(IF(AND(A230&lt;&gt;"",A230&lt;TODAY(),O230&lt;&gt;"Published",O230&lt;&gt;"Repurpose"),"⚠ Overdue ","")&amp;IF(AND(J230&lt;&gt;"",D230&lt;&gt;"",IFERROR(J230&gt;INDEX(Setup!$E$9:$E$18,MATCH(D230,Setup!$B$9:$B$18,0)),FALSE())),"✂ Caption too long ","")&amp;IF(AND(M230&lt;&gt;"",D230&lt;&gt;"",IFERROR(M230&gt;INDEX(Setup!$F$9:$F$18,MATCH(D230,Setup!$B$9:$B$18,0)),FALSE())),"# Too many tags","")))</f>
        <v/>
      </c>
      <c r="R230" s="16"/>
      <c r="S230" s="19"/>
      <c r="T230" s="19"/>
      <c r="U230" s="19"/>
      <c r="V230" s="19"/>
      <c r="W230" s="19"/>
      <c r="X230" s="19"/>
      <c r="Y230" s="19"/>
      <c r="Z230" s="47" t="str">
        <f aca="false">IF(COUNT(U230:X230)=0,"",SUM(U230:X230))</f>
        <v/>
      </c>
      <c r="AA230" s="48" t="str">
        <f aca="false">IF(OR(Z230="",N(T230)=0),"",Z230/T230)</f>
        <v/>
      </c>
      <c r="AB230" s="45"/>
      <c r="AC230" s="51" t="str">
        <f aca="false">IF(A230="","",A230+N(C230)+ROW()/10^7)</f>
        <v/>
      </c>
      <c r="AD230" s="51" t="str">
        <f aca="false">IF(A230="","",TEXT(A230,"0")&amp;"|"&amp;COUNTIFS('Content Log'!$A$5:$A$504,A230,'Content Log'!$AC$5:$AC$504,"&lt;="&amp;AC230))</f>
        <v/>
      </c>
      <c r="AE230" s="51" t="str">
        <f aca="false">IF(A230="","",IFERROR(INDEX(Setup!$N$9:$N$14,MATCH(O230,Setup!$M$9:$M$14,0))&amp;" ","")&amp;IF(C230="","",TEXT(C230,"h:mm AM/PM")&amp;" ")&amp;D230&amp;IF(H230="",""," · "&amp;H230))</f>
        <v/>
      </c>
      <c r="AF230" s="51" t="str">
        <f aca="false">IF(OR(A230="",AA230=""),"",IF(AND(A230&gt;=Dashboard!$G$4,A230&lt;=Dashboard!$I$4),AA230+ROW()/10^9,""))</f>
        <v/>
      </c>
      <c r="AG230" s="51" t="str">
        <f aca="false">IF(A230="","",WEEKDAY(A230,2))</f>
        <v/>
      </c>
    </row>
    <row r="231" customFormat="false" ht="15" hidden="false" customHeight="false" outlineLevel="0" collapsed="false">
      <c r="A231" s="43"/>
      <c r="B231" s="11" t="str">
        <f aca="false">IF(A231="","",TEXT(A231,"ddd"))</f>
        <v/>
      </c>
      <c r="C231" s="44"/>
      <c r="D231" s="16"/>
      <c r="E231" s="16"/>
      <c r="F231" s="16"/>
      <c r="G231" s="16"/>
      <c r="H231" s="45"/>
      <c r="I231" s="45"/>
      <c r="J231" s="11" t="str">
        <f aca="false">IF(I231="","",LEN(I231))</f>
        <v/>
      </c>
      <c r="K231" s="16"/>
      <c r="L231" s="16"/>
      <c r="M231" s="11" t="str">
        <f aca="false">IF(L231="","",IFERROR(INDEX('Hashtag Bank'!$E$5:$E$104,MATCH(L231,'Hashtag Bank'!$B$5:$B$104,0)),""))</f>
        <v/>
      </c>
      <c r="N231" s="16"/>
      <c r="O231" s="16"/>
      <c r="P231" s="16"/>
      <c r="Q231" s="46" t="str">
        <f aca="true">IF(A231&amp;H231="","",TRIM(IF(AND(A231&lt;&gt;"",A231&lt;TODAY(),O231&lt;&gt;"Published",O231&lt;&gt;"Repurpose"),"⚠ Overdue ","")&amp;IF(AND(J231&lt;&gt;"",D231&lt;&gt;"",IFERROR(J231&gt;INDEX(Setup!$E$9:$E$18,MATCH(D231,Setup!$B$9:$B$18,0)),FALSE())),"✂ Caption too long ","")&amp;IF(AND(M231&lt;&gt;"",D231&lt;&gt;"",IFERROR(M231&gt;INDEX(Setup!$F$9:$F$18,MATCH(D231,Setup!$B$9:$B$18,0)),FALSE())),"# Too many tags","")))</f>
        <v/>
      </c>
      <c r="R231" s="16"/>
      <c r="S231" s="19"/>
      <c r="T231" s="19"/>
      <c r="U231" s="19"/>
      <c r="V231" s="19"/>
      <c r="W231" s="19"/>
      <c r="X231" s="19"/>
      <c r="Y231" s="19"/>
      <c r="Z231" s="47" t="str">
        <f aca="false">IF(COUNT(U231:X231)=0,"",SUM(U231:X231))</f>
        <v/>
      </c>
      <c r="AA231" s="48" t="str">
        <f aca="false">IF(OR(Z231="",N(T231)=0),"",Z231/T231)</f>
        <v/>
      </c>
      <c r="AB231" s="45"/>
      <c r="AC231" s="51" t="str">
        <f aca="false">IF(A231="","",A231+N(C231)+ROW()/10^7)</f>
        <v/>
      </c>
      <c r="AD231" s="51" t="str">
        <f aca="false">IF(A231="","",TEXT(A231,"0")&amp;"|"&amp;COUNTIFS('Content Log'!$A$5:$A$504,A231,'Content Log'!$AC$5:$AC$504,"&lt;="&amp;AC231))</f>
        <v/>
      </c>
      <c r="AE231" s="51" t="str">
        <f aca="false">IF(A231="","",IFERROR(INDEX(Setup!$N$9:$N$14,MATCH(O231,Setup!$M$9:$M$14,0))&amp;" ","")&amp;IF(C231="","",TEXT(C231,"h:mm AM/PM")&amp;" ")&amp;D231&amp;IF(H231="",""," · "&amp;H231))</f>
        <v/>
      </c>
      <c r="AF231" s="51" t="str">
        <f aca="false">IF(OR(A231="",AA231=""),"",IF(AND(A231&gt;=Dashboard!$G$4,A231&lt;=Dashboard!$I$4),AA231+ROW()/10^9,""))</f>
        <v/>
      </c>
      <c r="AG231" s="51" t="str">
        <f aca="false">IF(A231="","",WEEKDAY(A231,2))</f>
        <v/>
      </c>
    </row>
    <row r="232" customFormat="false" ht="15" hidden="false" customHeight="false" outlineLevel="0" collapsed="false">
      <c r="A232" s="43"/>
      <c r="B232" s="11" t="str">
        <f aca="false">IF(A232="","",TEXT(A232,"ddd"))</f>
        <v/>
      </c>
      <c r="C232" s="44"/>
      <c r="D232" s="16"/>
      <c r="E232" s="16"/>
      <c r="F232" s="16"/>
      <c r="G232" s="16"/>
      <c r="H232" s="45"/>
      <c r="I232" s="45"/>
      <c r="J232" s="11" t="str">
        <f aca="false">IF(I232="","",LEN(I232))</f>
        <v/>
      </c>
      <c r="K232" s="16"/>
      <c r="L232" s="16"/>
      <c r="M232" s="11" t="str">
        <f aca="false">IF(L232="","",IFERROR(INDEX('Hashtag Bank'!$E$5:$E$104,MATCH(L232,'Hashtag Bank'!$B$5:$B$104,0)),""))</f>
        <v/>
      </c>
      <c r="N232" s="16"/>
      <c r="O232" s="16"/>
      <c r="P232" s="16"/>
      <c r="Q232" s="46" t="str">
        <f aca="true">IF(A232&amp;H232="","",TRIM(IF(AND(A232&lt;&gt;"",A232&lt;TODAY(),O232&lt;&gt;"Published",O232&lt;&gt;"Repurpose"),"⚠ Overdue ","")&amp;IF(AND(J232&lt;&gt;"",D232&lt;&gt;"",IFERROR(J232&gt;INDEX(Setup!$E$9:$E$18,MATCH(D232,Setup!$B$9:$B$18,0)),FALSE())),"✂ Caption too long ","")&amp;IF(AND(M232&lt;&gt;"",D232&lt;&gt;"",IFERROR(M232&gt;INDEX(Setup!$F$9:$F$18,MATCH(D232,Setup!$B$9:$B$18,0)),FALSE())),"# Too many tags","")))</f>
        <v/>
      </c>
      <c r="R232" s="16"/>
      <c r="S232" s="19"/>
      <c r="T232" s="19"/>
      <c r="U232" s="19"/>
      <c r="V232" s="19"/>
      <c r="W232" s="19"/>
      <c r="X232" s="19"/>
      <c r="Y232" s="19"/>
      <c r="Z232" s="47" t="str">
        <f aca="false">IF(COUNT(U232:X232)=0,"",SUM(U232:X232))</f>
        <v/>
      </c>
      <c r="AA232" s="48" t="str">
        <f aca="false">IF(OR(Z232="",N(T232)=0),"",Z232/T232)</f>
        <v/>
      </c>
      <c r="AB232" s="45"/>
      <c r="AC232" s="51" t="str">
        <f aca="false">IF(A232="","",A232+N(C232)+ROW()/10^7)</f>
        <v/>
      </c>
      <c r="AD232" s="51" t="str">
        <f aca="false">IF(A232="","",TEXT(A232,"0")&amp;"|"&amp;COUNTIFS('Content Log'!$A$5:$A$504,A232,'Content Log'!$AC$5:$AC$504,"&lt;="&amp;AC232))</f>
        <v/>
      </c>
      <c r="AE232" s="51" t="str">
        <f aca="false">IF(A232="","",IFERROR(INDEX(Setup!$N$9:$N$14,MATCH(O232,Setup!$M$9:$M$14,0))&amp;" ","")&amp;IF(C232="","",TEXT(C232,"h:mm AM/PM")&amp;" ")&amp;D232&amp;IF(H232="",""," · "&amp;H232))</f>
        <v/>
      </c>
      <c r="AF232" s="51" t="str">
        <f aca="false">IF(OR(A232="",AA232=""),"",IF(AND(A232&gt;=Dashboard!$G$4,A232&lt;=Dashboard!$I$4),AA232+ROW()/10^9,""))</f>
        <v/>
      </c>
      <c r="AG232" s="51" t="str">
        <f aca="false">IF(A232="","",WEEKDAY(A232,2))</f>
        <v/>
      </c>
    </row>
    <row r="233" customFormat="false" ht="15" hidden="false" customHeight="false" outlineLevel="0" collapsed="false">
      <c r="A233" s="43"/>
      <c r="B233" s="11" t="str">
        <f aca="false">IF(A233="","",TEXT(A233,"ddd"))</f>
        <v/>
      </c>
      <c r="C233" s="44"/>
      <c r="D233" s="16"/>
      <c r="E233" s="16"/>
      <c r="F233" s="16"/>
      <c r="G233" s="16"/>
      <c r="H233" s="45"/>
      <c r="I233" s="45"/>
      <c r="J233" s="11" t="str">
        <f aca="false">IF(I233="","",LEN(I233))</f>
        <v/>
      </c>
      <c r="K233" s="16"/>
      <c r="L233" s="16"/>
      <c r="M233" s="11" t="str">
        <f aca="false">IF(L233="","",IFERROR(INDEX('Hashtag Bank'!$E$5:$E$104,MATCH(L233,'Hashtag Bank'!$B$5:$B$104,0)),""))</f>
        <v/>
      </c>
      <c r="N233" s="16"/>
      <c r="O233" s="16"/>
      <c r="P233" s="16"/>
      <c r="Q233" s="46" t="str">
        <f aca="true">IF(A233&amp;H233="","",TRIM(IF(AND(A233&lt;&gt;"",A233&lt;TODAY(),O233&lt;&gt;"Published",O233&lt;&gt;"Repurpose"),"⚠ Overdue ","")&amp;IF(AND(J233&lt;&gt;"",D233&lt;&gt;"",IFERROR(J233&gt;INDEX(Setup!$E$9:$E$18,MATCH(D233,Setup!$B$9:$B$18,0)),FALSE())),"✂ Caption too long ","")&amp;IF(AND(M233&lt;&gt;"",D233&lt;&gt;"",IFERROR(M233&gt;INDEX(Setup!$F$9:$F$18,MATCH(D233,Setup!$B$9:$B$18,0)),FALSE())),"# Too many tags","")))</f>
        <v/>
      </c>
      <c r="R233" s="16"/>
      <c r="S233" s="19"/>
      <c r="T233" s="19"/>
      <c r="U233" s="19"/>
      <c r="V233" s="19"/>
      <c r="W233" s="19"/>
      <c r="X233" s="19"/>
      <c r="Y233" s="19"/>
      <c r="Z233" s="47" t="str">
        <f aca="false">IF(COUNT(U233:X233)=0,"",SUM(U233:X233))</f>
        <v/>
      </c>
      <c r="AA233" s="48" t="str">
        <f aca="false">IF(OR(Z233="",N(T233)=0),"",Z233/T233)</f>
        <v/>
      </c>
      <c r="AB233" s="45"/>
      <c r="AC233" s="51" t="str">
        <f aca="false">IF(A233="","",A233+N(C233)+ROW()/10^7)</f>
        <v/>
      </c>
      <c r="AD233" s="51" t="str">
        <f aca="false">IF(A233="","",TEXT(A233,"0")&amp;"|"&amp;COUNTIFS('Content Log'!$A$5:$A$504,A233,'Content Log'!$AC$5:$AC$504,"&lt;="&amp;AC233))</f>
        <v/>
      </c>
      <c r="AE233" s="51" t="str">
        <f aca="false">IF(A233="","",IFERROR(INDEX(Setup!$N$9:$N$14,MATCH(O233,Setup!$M$9:$M$14,0))&amp;" ","")&amp;IF(C233="","",TEXT(C233,"h:mm AM/PM")&amp;" ")&amp;D233&amp;IF(H233="",""," · "&amp;H233))</f>
        <v/>
      </c>
      <c r="AF233" s="51" t="str">
        <f aca="false">IF(OR(A233="",AA233=""),"",IF(AND(A233&gt;=Dashboard!$G$4,A233&lt;=Dashboard!$I$4),AA233+ROW()/10^9,""))</f>
        <v/>
      </c>
      <c r="AG233" s="51" t="str">
        <f aca="false">IF(A233="","",WEEKDAY(A233,2))</f>
        <v/>
      </c>
    </row>
    <row r="234" customFormat="false" ht="15" hidden="false" customHeight="false" outlineLevel="0" collapsed="false">
      <c r="A234" s="43"/>
      <c r="B234" s="11" t="str">
        <f aca="false">IF(A234="","",TEXT(A234,"ddd"))</f>
        <v/>
      </c>
      <c r="C234" s="44"/>
      <c r="D234" s="16"/>
      <c r="E234" s="16"/>
      <c r="F234" s="16"/>
      <c r="G234" s="16"/>
      <c r="H234" s="45"/>
      <c r="I234" s="45"/>
      <c r="J234" s="11" t="str">
        <f aca="false">IF(I234="","",LEN(I234))</f>
        <v/>
      </c>
      <c r="K234" s="16"/>
      <c r="L234" s="16"/>
      <c r="M234" s="11" t="str">
        <f aca="false">IF(L234="","",IFERROR(INDEX('Hashtag Bank'!$E$5:$E$104,MATCH(L234,'Hashtag Bank'!$B$5:$B$104,0)),""))</f>
        <v/>
      </c>
      <c r="N234" s="16"/>
      <c r="O234" s="16"/>
      <c r="P234" s="16"/>
      <c r="Q234" s="46" t="str">
        <f aca="true">IF(A234&amp;H234="","",TRIM(IF(AND(A234&lt;&gt;"",A234&lt;TODAY(),O234&lt;&gt;"Published",O234&lt;&gt;"Repurpose"),"⚠ Overdue ","")&amp;IF(AND(J234&lt;&gt;"",D234&lt;&gt;"",IFERROR(J234&gt;INDEX(Setup!$E$9:$E$18,MATCH(D234,Setup!$B$9:$B$18,0)),FALSE())),"✂ Caption too long ","")&amp;IF(AND(M234&lt;&gt;"",D234&lt;&gt;"",IFERROR(M234&gt;INDEX(Setup!$F$9:$F$18,MATCH(D234,Setup!$B$9:$B$18,0)),FALSE())),"# Too many tags","")))</f>
        <v/>
      </c>
      <c r="R234" s="16"/>
      <c r="S234" s="19"/>
      <c r="T234" s="19"/>
      <c r="U234" s="19"/>
      <c r="V234" s="19"/>
      <c r="W234" s="19"/>
      <c r="X234" s="19"/>
      <c r="Y234" s="19"/>
      <c r="Z234" s="47" t="str">
        <f aca="false">IF(COUNT(U234:X234)=0,"",SUM(U234:X234))</f>
        <v/>
      </c>
      <c r="AA234" s="48" t="str">
        <f aca="false">IF(OR(Z234="",N(T234)=0),"",Z234/T234)</f>
        <v/>
      </c>
      <c r="AB234" s="45"/>
      <c r="AC234" s="51" t="str">
        <f aca="false">IF(A234="","",A234+N(C234)+ROW()/10^7)</f>
        <v/>
      </c>
      <c r="AD234" s="51" t="str">
        <f aca="false">IF(A234="","",TEXT(A234,"0")&amp;"|"&amp;COUNTIFS('Content Log'!$A$5:$A$504,A234,'Content Log'!$AC$5:$AC$504,"&lt;="&amp;AC234))</f>
        <v/>
      </c>
      <c r="AE234" s="51" t="str">
        <f aca="false">IF(A234="","",IFERROR(INDEX(Setup!$N$9:$N$14,MATCH(O234,Setup!$M$9:$M$14,0))&amp;" ","")&amp;IF(C234="","",TEXT(C234,"h:mm AM/PM")&amp;" ")&amp;D234&amp;IF(H234="",""," · "&amp;H234))</f>
        <v/>
      </c>
      <c r="AF234" s="51" t="str">
        <f aca="false">IF(OR(A234="",AA234=""),"",IF(AND(A234&gt;=Dashboard!$G$4,A234&lt;=Dashboard!$I$4),AA234+ROW()/10^9,""))</f>
        <v/>
      </c>
      <c r="AG234" s="51" t="str">
        <f aca="false">IF(A234="","",WEEKDAY(A234,2))</f>
        <v/>
      </c>
    </row>
    <row r="235" customFormat="false" ht="15" hidden="false" customHeight="false" outlineLevel="0" collapsed="false">
      <c r="A235" s="43"/>
      <c r="B235" s="11" t="str">
        <f aca="false">IF(A235="","",TEXT(A235,"ddd"))</f>
        <v/>
      </c>
      <c r="C235" s="44"/>
      <c r="D235" s="16"/>
      <c r="E235" s="16"/>
      <c r="F235" s="16"/>
      <c r="G235" s="16"/>
      <c r="H235" s="45"/>
      <c r="I235" s="45"/>
      <c r="J235" s="11" t="str">
        <f aca="false">IF(I235="","",LEN(I235))</f>
        <v/>
      </c>
      <c r="K235" s="16"/>
      <c r="L235" s="16"/>
      <c r="M235" s="11" t="str">
        <f aca="false">IF(L235="","",IFERROR(INDEX('Hashtag Bank'!$E$5:$E$104,MATCH(L235,'Hashtag Bank'!$B$5:$B$104,0)),""))</f>
        <v/>
      </c>
      <c r="N235" s="16"/>
      <c r="O235" s="16"/>
      <c r="P235" s="16"/>
      <c r="Q235" s="46" t="str">
        <f aca="true">IF(A235&amp;H235="","",TRIM(IF(AND(A235&lt;&gt;"",A235&lt;TODAY(),O235&lt;&gt;"Published",O235&lt;&gt;"Repurpose"),"⚠ Overdue ","")&amp;IF(AND(J235&lt;&gt;"",D235&lt;&gt;"",IFERROR(J235&gt;INDEX(Setup!$E$9:$E$18,MATCH(D235,Setup!$B$9:$B$18,0)),FALSE())),"✂ Caption too long ","")&amp;IF(AND(M235&lt;&gt;"",D235&lt;&gt;"",IFERROR(M235&gt;INDEX(Setup!$F$9:$F$18,MATCH(D235,Setup!$B$9:$B$18,0)),FALSE())),"# Too many tags","")))</f>
        <v/>
      </c>
      <c r="R235" s="16"/>
      <c r="S235" s="19"/>
      <c r="T235" s="19"/>
      <c r="U235" s="19"/>
      <c r="V235" s="19"/>
      <c r="W235" s="19"/>
      <c r="X235" s="19"/>
      <c r="Y235" s="19"/>
      <c r="Z235" s="47" t="str">
        <f aca="false">IF(COUNT(U235:X235)=0,"",SUM(U235:X235))</f>
        <v/>
      </c>
      <c r="AA235" s="48" t="str">
        <f aca="false">IF(OR(Z235="",N(T235)=0),"",Z235/T235)</f>
        <v/>
      </c>
      <c r="AB235" s="45"/>
      <c r="AC235" s="51" t="str">
        <f aca="false">IF(A235="","",A235+N(C235)+ROW()/10^7)</f>
        <v/>
      </c>
      <c r="AD235" s="51" t="str">
        <f aca="false">IF(A235="","",TEXT(A235,"0")&amp;"|"&amp;COUNTIFS('Content Log'!$A$5:$A$504,A235,'Content Log'!$AC$5:$AC$504,"&lt;="&amp;AC235))</f>
        <v/>
      </c>
      <c r="AE235" s="51" t="str">
        <f aca="false">IF(A235="","",IFERROR(INDEX(Setup!$N$9:$N$14,MATCH(O235,Setup!$M$9:$M$14,0))&amp;" ","")&amp;IF(C235="","",TEXT(C235,"h:mm AM/PM")&amp;" ")&amp;D235&amp;IF(H235="",""," · "&amp;H235))</f>
        <v/>
      </c>
      <c r="AF235" s="51" t="str">
        <f aca="false">IF(OR(A235="",AA235=""),"",IF(AND(A235&gt;=Dashboard!$G$4,A235&lt;=Dashboard!$I$4),AA235+ROW()/10^9,""))</f>
        <v/>
      </c>
      <c r="AG235" s="51" t="str">
        <f aca="false">IF(A235="","",WEEKDAY(A235,2))</f>
        <v/>
      </c>
    </row>
    <row r="236" customFormat="false" ht="15" hidden="false" customHeight="false" outlineLevel="0" collapsed="false">
      <c r="A236" s="43"/>
      <c r="B236" s="11" t="str">
        <f aca="false">IF(A236="","",TEXT(A236,"ddd"))</f>
        <v/>
      </c>
      <c r="C236" s="44"/>
      <c r="D236" s="16"/>
      <c r="E236" s="16"/>
      <c r="F236" s="16"/>
      <c r="G236" s="16"/>
      <c r="H236" s="45"/>
      <c r="I236" s="45"/>
      <c r="J236" s="11" t="str">
        <f aca="false">IF(I236="","",LEN(I236))</f>
        <v/>
      </c>
      <c r="K236" s="16"/>
      <c r="L236" s="16"/>
      <c r="M236" s="11" t="str">
        <f aca="false">IF(L236="","",IFERROR(INDEX('Hashtag Bank'!$E$5:$E$104,MATCH(L236,'Hashtag Bank'!$B$5:$B$104,0)),""))</f>
        <v/>
      </c>
      <c r="N236" s="16"/>
      <c r="O236" s="16"/>
      <c r="P236" s="16"/>
      <c r="Q236" s="46" t="str">
        <f aca="true">IF(A236&amp;H236="","",TRIM(IF(AND(A236&lt;&gt;"",A236&lt;TODAY(),O236&lt;&gt;"Published",O236&lt;&gt;"Repurpose"),"⚠ Overdue ","")&amp;IF(AND(J236&lt;&gt;"",D236&lt;&gt;"",IFERROR(J236&gt;INDEX(Setup!$E$9:$E$18,MATCH(D236,Setup!$B$9:$B$18,0)),FALSE())),"✂ Caption too long ","")&amp;IF(AND(M236&lt;&gt;"",D236&lt;&gt;"",IFERROR(M236&gt;INDEX(Setup!$F$9:$F$18,MATCH(D236,Setup!$B$9:$B$18,0)),FALSE())),"# Too many tags","")))</f>
        <v/>
      </c>
      <c r="R236" s="16"/>
      <c r="S236" s="19"/>
      <c r="T236" s="19"/>
      <c r="U236" s="19"/>
      <c r="V236" s="19"/>
      <c r="W236" s="19"/>
      <c r="X236" s="19"/>
      <c r="Y236" s="19"/>
      <c r="Z236" s="47" t="str">
        <f aca="false">IF(COUNT(U236:X236)=0,"",SUM(U236:X236))</f>
        <v/>
      </c>
      <c r="AA236" s="48" t="str">
        <f aca="false">IF(OR(Z236="",N(T236)=0),"",Z236/T236)</f>
        <v/>
      </c>
      <c r="AB236" s="45"/>
      <c r="AC236" s="51" t="str">
        <f aca="false">IF(A236="","",A236+N(C236)+ROW()/10^7)</f>
        <v/>
      </c>
      <c r="AD236" s="51" t="str">
        <f aca="false">IF(A236="","",TEXT(A236,"0")&amp;"|"&amp;COUNTIFS('Content Log'!$A$5:$A$504,A236,'Content Log'!$AC$5:$AC$504,"&lt;="&amp;AC236))</f>
        <v/>
      </c>
      <c r="AE236" s="51" t="str">
        <f aca="false">IF(A236="","",IFERROR(INDEX(Setup!$N$9:$N$14,MATCH(O236,Setup!$M$9:$M$14,0))&amp;" ","")&amp;IF(C236="","",TEXT(C236,"h:mm AM/PM")&amp;" ")&amp;D236&amp;IF(H236="",""," · "&amp;H236))</f>
        <v/>
      </c>
      <c r="AF236" s="51" t="str">
        <f aca="false">IF(OR(A236="",AA236=""),"",IF(AND(A236&gt;=Dashboard!$G$4,A236&lt;=Dashboard!$I$4),AA236+ROW()/10^9,""))</f>
        <v/>
      </c>
      <c r="AG236" s="51" t="str">
        <f aca="false">IF(A236="","",WEEKDAY(A236,2))</f>
        <v/>
      </c>
    </row>
    <row r="237" customFormat="false" ht="15" hidden="false" customHeight="false" outlineLevel="0" collapsed="false">
      <c r="A237" s="43"/>
      <c r="B237" s="11" t="str">
        <f aca="false">IF(A237="","",TEXT(A237,"ddd"))</f>
        <v/>
      </c>
      <c r="C237" s="44"/>
      <c r="D237" s="16"/>
      <c r="E237" s="16"/>
      <c r="F237" s="16"/>
      <c r="G237" s="16"/>
      <c r="H237" s="45"/>
      <c r="I237" s="45"/>
      <c r="J237" s="11" t="str">
        <f aca="false">IF(I237="","",LEN(I237))</f>
        <v/>
      </c>
      <c r="K237" s="16"/>
      <c r="L237" s="16"/>
      <c r="M237" s="11" t="str">
        <f aca="false">IF(L237="","",IFERROR(INDEX('Hashtag Bank'!$E$5:$E$104,MATCH(L237,'Hashtag Bank'!$B$5:$B$104,0)),""))</f>
        <v/>
      </c>
      <c r="N237" s="16"/>
      <c r="O237" s="16"/>
      <c r="P237" s="16"/>
      <c r="Q237" s="46" t="str">
        <f aca="true">IF(A237&amp;H237="","",TRIM(IF(AND(A237&lt;&gt;"",A237&lt;TODAY(),O237&lt;&gt;"Published",O237&lt;&gt;"Repurpose"),"⚠ Overdue ","")&amp;IF(AND(J237&lt;&gt;"",D237&lt;&gt;"",IFERROR(J237&gt;INDEX(Setup!$E$9:$E$18,MATCH(D237,Setup!$B$9:$B$18,0)),FALSE())),"✂ Caption too long ","")&amp;IF(AND(M237&lt;&gt;"",D237&lt;&gt;"",IFERROR(M237&gt;INDEX(Setup!$F$9:$F$18,MATCH(D237,Setup!$B$9:$B$18,0)),FALSE())),"# Too many tags","")))</f>
        <v/>
      </c>
      <c r="R237" s="16"/>
      <c r="S237" s="19"/>
      <c r="T237" s="19"/>
      <c r="U237" s="19"/>
      <c r="V237" s="19"/>
      <c r="W237" s="19"/>
      <c r="X237" s="19"/>
      <c r="Y237" s="19"/>
      <c r="Z237" s="47" t="str">
        <f aca="false">IF(COUNT(U237:X237)=0,"",SUM(U237:X237))</f>
        <v/>
      </c>
      <c r="AA237" s="48" t="str">
        <f aca="false">IF(OR(Z237="",N(T237)=0),"",Z237/T237)</f>
        <v/>
      </c>
      <c r="AB237" s="45"/>
      <c r="AC237" s="51" t="str">
        <f aca="false">IF(A237="","",A237+N(C237)+ROW()/10^7)</f>
        <v/>
      </c>
      <c r="AD237" s="51" t="str">
        <f aca="false">IF(A237="","",TEXT(A237,"0")&amp;"|"&amp;COUNTIFS('Content Log'!$A$5:$A$504,A237,'Content Log'!$AC$5:$AC$504,"&lt;="&amp;AC237))</f>
        <v/>
      </c>
      <c r="AE237" s="51" t="str">
        <f aca="false">IF(A237="","",IFERROR(INDEX(Setup!$N$9:$N$14,MATCH(O237,Setup!$M$9:$M$14,0))&amp;" ","")&amp;IF(C237="","",TEXT(C237,"h:mm AM/PM")&amp;" ")&amp;D237&amp;IF(H237="",""," · "&amp;H237))</f>
        <v/>
      </c>
      <c r="AF237" s="51" t="str">
        <f aca="false">IF(OR(A237="",AA237=""),"",IF(AND(A237&gt;=Dashboard!$G$4,A237&lt;=Dashboard!$I$4),AA237+ROW()/10^9,""))</f>
        <v/>
      </c>
      <c r="AG237" s="51" t="str">
        <f aca="false">IF(A237="","",WEEKDAY(A237,2))</f>
        <v/>
      </c>
    </row>
    <row r="238" customFormat="false" ht="15" hidden="false" customHeight="false" outlineLevel="0" collapsed="false">
      <c r="A238" s="43"/>
      <c r="B238" s="11" t="str">
        <f aca="false">IF(A238="","",TEXT(A238,"ddd"))</f>
        <v/>
      </c>
      <c r="C238" s="44"/>
      <c r="D238" s="16"/>
      <c r="E238" s="16"/>
      <c r="F238" s="16"/>
      <c r="G238" s="16"/>
      <c r="H238" s="45"/>
      <c r="I238" s="45"/>
      <c r="J238" s="11" t="str">
        <f aca="false">IF(I238="","",LEN(I238))</f>
        <v/>
      </c>
      <c r="K238" s="16"/>
      <c r="L238" s="16"/>
      <c r="M238" s="11" t="str">
        <f aca="false">IF(L238="","",IFERROR(INDEX('Hashtag Bank'!$E$5:$E$104,MATCH(L238,'Hashtag Bank'!$B$5:$B$104,0)),""))</f>
        <v/>
      </c>
      <c r="N238" s="16"/>
      <c r="O238" s="16"/>
      <c r="P238" s="16"/>
      <c r="Q238" s="46" t="str">
        <f aca="true">IF(A238&amp;H238="","",TRIM(IF(AND(A238&lt;&gt;"",A238&lt;TODAY(),O238&lt;&gt;"Published",O238&lt;&gt;"Repurpose"),"⚠ Overdue ","")&amp;IF(AND(J238&lt;&gt;"",D238&lt;&gt;"",IFERROR(J238&gt;INDEX(Setup!$E$9:$E$18,MATCH(D238,Setup!$B$9:$B$18,0)),FALSE())),"✂ Caption too long ","")&amp;IF(AND(M238&lt;&gt;"",D238&lt;&gt;"",IFERROR(M238&gt;INDEX(Setup!$F$9:$F$18,MATCH(D238,Setup!$B$9:$B$18,0)),FALSE())),"# Too many tags","")))</f>
        <v/>
      </c>
      <c r="R238" s="16"/>
      <c r="S238" s="19"/>
      <c r="T238" s="19"/>
      <c r="U238" s="19"/>
      <c r="V238" s="19"/>
      <c r="W238" s="19"/>
      <c r="X238" s="19"/>
      <c r="Y238" s="19"/>
      <c r="Z238" s="47" t="str">
        <f aca="false">IF(COUNT(U238:X238)=0,"",SUM(U238:X238))</f>
        <v/>
      </c>
      <c r="AA238" s="48" t="str">
        <f aca="false">IF(OR(Z238="",N(T238)=0),"",Z238/T238)</f>
        <v/>
      </c>
      <c r="AB238" s="45"/>
      <c r="AC238" s="51" t="str">
        <f aca="false">IF(A238="","",A238+N(C238)+ROW()/10^7)</f>
        <v/>
      </c>
      <c r="AD238" s="51" t="str">
        <f aca="false">IF(A238="","",TEXT(A238,"0")&amp;"|"&amp;COUNTIFS('Content Log'!$A$5:$A$504,A238,'Content Log'!$AC$5:$AC$504,"&lt;="&amp;AC238))</f>
        <v/>
      </c>
      <c r="AE238" s="51" t="str">
        <f aca="false">IF(A238="","",IFERROR(INDEX(Setup!$N$9:$N$14,MATCH(O238,Setup!$M$9:$M$14,0))&amp;" ","")&amp;IF(C238="","",TEXT(C238,"h:mm AM/PM")&amp;" ")&amp;D238&amp;IF(H238="",""," · "&amp;H238))</f>
        <v/>
      </c>
      <c r="AF238" s="51" t="str">
        <f aca="false">IF(OR(A238="",AA238=""),"",IF(AND(A238&gt;=Dashboard!$G$4,A238&lt;=Dashboard!$I$4),AA238+ROW()/10^9,""))</f>
        <v/>
      </c>
      <c r="AG238" s="51" t="str">
        <f aca="false">IF(A238="","",WEEKDAY(A238,2))</f>
        <v/>
      </c>
    </row>
    <row r="239" customFormat="false" ht="15" hidden="false" customHeight="false" outlineLevel="0" collapsed="false">
      <c r="A239" s="43"/>
      <c r="B239" s="11" t="str">
        <f aca="false">IF(A239="","",TEXT(A239,"ddd"))</f>
        <v/>
      </c>
      <c r="C239" s="44"/>
      <c r="D239" s="16"/>
      <c r="E239" s="16"/>
      <c r="F239" s="16"/>
      <c r="G239" s="16"/>
      <c r="H239" s="45"/>
      <c r="I239" s="45"/>
      <c r="J239" s="11" t="str">
        <f aca="false">IF(I239="","",LEN(I239))</f>
        <v/>
      </c>
      <c r="K239" s="16"/>
      <c r="L239" s="16"/>
      <c r="M239" s="11" t="str">
        <f aca="false">IF(L239="","",IFERROR(INDEX('Hashtag Bank'!$E$5:$E$104,MATCH(L239,'Hashtag Bank'!$B$5:$B$104,0)),""))</f>
        <v/>
      </c>
      <c r="N239" s="16"/>
      <c r="O239" s="16"/>
      <c r="P239" s="16"/>
      <c r="Q239" s="46" t="str">
        <f aca="true">IF(A239&amp;H239="","",TRIM(IF(AND(A239&lt;&gt;"",A239&lt;TODAY(),O239&lt;&gt;"Published",O239&lt;&gt;"Repurpose"),"⚠ Overdue ","")&amp;IF(AND(J239&lt;&gt;"",D239&lt;&gt;"",IFERROR(J239&gt;INDEX(Setup!$E$9:$E$18,MATCH(D239,Setup!$B$9:$B$18,0)),FALSE())),"✂ Caption too long ","")&amp;IF(AND(M239&lt;&gt;"",D239&lt;&gt;"",IFERROR(M239&gt;INDEX(Setup!$F$9:$F$18,MATCH(D239,Setup!$B$9:$B$18,0)),FALSE())),"# Too many tags","")))</f>
        <v/>
      </c>
      <c r="R239" s="16"/>
      <c r="S239" s="19"/>
      <c r="T239" s="19"/>
      <c r="U239" s="19"/>
      <c r="V239" s="19"/>
      <c r="W239" s="19"/>
      <c r="X239" s="19"/>
      <c r="Y239" s="19"/>
      <c r="Z239" s="47" t="str">
        <f aca="false">IF(COUNT(U239:X239)=0,"",SUM(U239:X239))</f>
        <v/>
      </c>
      <c r="AA239" s="48" t="str">
        <f aca="false">IF(OR(Z239="",N(T239)=0),"",Z239/T239)</f>
        <v/>
      </c>
      <c r="AB239" s="45"/>
      <c r="AC239" s="51" t="str">
        <f aca="false">IF(A239="","",A239+N(C239)+ROW()/10^7)</f>
        <v/>
      </c>
      <c r="AD239" s="51" t="str">
        <f aca="false">IF(A239="","",TEXT(A239,"0")&amp;"|"&amp;COUNTIFS('Content Log'!$A$5:$A$504,A239,'Content Log'!$AC$5:$AC$504,"&lt;="&amp;AC239))</f>
        <v/>
      </c>
      <c r="AE239" s="51" t="str">
        <f aca="false">IF(A239="","",IFERROR(INDEX(Setup!$N$9:$N$14,MATCH(O239,Setup!$M$9:$M$14,0))&amp;" ","")&amp;IF(C239="","",TEXT(C239,"h:mm AM/PM")&amp;" ")&amp;D239&amp;IF(H239="",""," · "&amp;H239))</f>
        <v/>
      </c>
      <c r="AF239" s="51" t="str">
        <f aca="false">IF(OR(A239="",AA239=""),"",IF(AND(A239&gt;=Dashboard!$G$4,A239&lt;=Dashboard!$I$4),AA239+ROW()/10^9,""))</f>
        <v/>
      </c>
      <c r="AG239" s="51" t="str">
        <f aca="false">IF(A239="","",WEEKDAY(A239,2))</f>
        <v/>
      </c>
    </row>
    <row r="240" customFormat="false" ht="15" hidden="false" customHeight="false" outlineLevel="0" collapsed="false">
      <c r="A240" s="43"/>
      <c r="B240" s="11" t="str">
        <f aca="false">IF(A240="","",TEXT(A240,"ddd"))</f>
        <v/>
      </c>
      <c r="C240" s="44"/>
      <c r="D240" s="16"/>
      <c r="E240" s="16"/>
      <c r="F240" s="16"/>
      <c r="G240" s="16"/>
      <c r="H240" s="45"/>
      <c r="I240" s="45"/>
      <c r="J240" s="11" t="str">
        <f aca="false">IF(I240="","",LEN(I240))</f>
        <v/>
      </c>
      <c r="K240" s="16"/>
      <c r="L240" s="16"/>
      <c r="M240" s="11" t="str">
        <f aca="false">IF(L240="","",IFERROR(INDEX('Hashtag Bank'!$E$5:$E$104,MATCH(L240,'Hashtag Bank'!$B$5:$B$104,0)),""))</f>
        <v/>
      </c>
      <c r="N240" s="16"/>
      <c r="O240" s="16"/>
      <c r="P240" s="16"/>
      <c r="Q240" s="46" t="str">
        <f aca="true">IF(A240&amp;H240="","",TRIM(IF(AND(A240&lt;&gt;"",A240&lt;TODAY(),O240&lt;&gt;"Published",O240&lt;&gt;"Repurpose"),"⚠ Overdue ","")&amp;IF(AND(J240&lt;&gt;"",D240&lt;&gt;"",IFERROR(J240&gt;INDEX(Setup!$E$9:$E$18,MATCH(D240,Setup!$B$9:$B$18,0)),FALSE())),"✂ Caption too long ","")&amp;IF(AND(M240&lt;&gt;"",D240&lt;&gt;"",IFERROR(M240&gt;INDEX(Setup!$F$9:$F$18,MATCH(D240,Setup!$B$9:$B$18,0)),FALSE())),"# Too many tags","")))</f>
        <v/>
      </c>
      <c r="R240" s="16"/>
      <c r="S240" s="19"/>
      <c r="T240" s="19"/>
      <c r="U240" s="19"/>
      <c r="V240" s="19"/>
      <c r="W240" s="19"/>
      <c r="X240" s="19"/>
      <c r="Y240" s="19"/>
      <c r="Z240" s="47" t="str">
        <f aca="false">IF(COUNT(U240:X240)=0,"",SUM(U240:X240))</f>
        <v/>
      </c>
      <c r="AA240" s="48" t="str">
        <f aca="false">IF(OR(Z240="",N(T240)=0),"",Z240/T240)</f>
        <v/>
      </c>
      <c r="AB240" s="45"/>
      <c r="AC240" s="51" t="str">
        <f aca="false">IF(A240="","",A240+N(C240)+ROW()/10^7)</f>
        <v/>
      </c>
      <c r="AD240" s="51" t="str">
        <f aca="false">IF(A240="","",TEXT(A240,"0")&amp;"|"&amp;COUNTIFS('Content Log'!$A$5:$A$504,A240,'Content Log'!$AC$5:$AC$504,"&lt;="&amp;AC240))</f>
        <v/>
      </c>
      <c r="AE240" s="51" t="str">
        <f aca="false">IF(A240="","",IFERROR(INDEX(Setup!$N$9:$N$14,MATCH(O240,Setup!$M$9:$M$14,0))&amp;" ","")&amp;IF(C240="","",TEXT(C240,"h:mm AM/PM")&amp;" ")&amp;D240&amp;IF(H240="",""," · "&amp;H240))</f>
        <v/>
      </c>
      <c r="AF240" s="51" t="str">
        <f aca="false">IF(OR(A240="",AA240=""),"",IF(AND(A240&gt;=Dashboard!$G$4,A240&lt;=Dashboard!$I$4),AA240+ROW()/10^9,""))</f>
        <v/>
      </c>
      <c r="AG240" s="51" t="str">
        <f aca="false">IF(A240="","",WEEKDAY(A240,2))</f>
        <v/>
      </c>
    </row>
    <row r="241" customFormat="false" ht="15" hidden="false" customHeight="false" outlineLevel="0" collapsed="false">
      <c r="A241" s="43"/>
      <c r="B241" s="11" t="str">
        <f aca="false">IF(A241="","",TEXT(A241,"ddd"))</f>
        <v/>
      </c>
      <c r="C241" s="44"/>
      <c r="D241" s="16"/>
      <c r="E241" s="16"/>
      <c r="F241" s="16"/>
      <c r="G241" s="16"/>
      <c r="H241" s="45"/>
      <c r="I241" s="45"/>
      <c r="J241" s="11" t="str">
        <f aca="false">IF(I241="","",LEN(I241))</f>
        <v/>
      </c>
      <c r="K241" s="16"/>
      <c r="L241" s="16"/>
      <c r="M241" s="11" t="str">
        <f aca="false">IF(L241="","",IFERROR(INDEX('Hashtag Bank'!$E$5:$E$104,MATCH(L241,'Hashtag Bank'!$B$5:$B$104,0)),""))</f>
        <v/>
      </c>
      <c r="N241" s="16"/>
      <c r="O241" s="16"/>
      <c r="P241" s="16"/>
      <c r="Q241" s="46" t="str">
        <f aca="true">IF(A241&amp;H241="","",TRIM(IF(AND(A241&lt;&gt;"",A241&lt;TODAY(),O241&lt;&gt;"Published",O241&lt;&gt;"Repurpose"),"⚠ Overdue ","")&amp;IF(AND(J241&lt;&gt;"",D241&lt;&gt;"",IFERROR(J241&gt;INDEX(Setup!$E$9:$E$18,MATCH(D241,Setup!$B$9:$B$18,0)),FALSE())),"✂ Caption too long ","")&amp;IF(AND(M241&lt;&gt;"",D241&lt;&gt;"",IFERROR(M241&gt;INDEX(Setup!$F$9:$F$18,MATCH(D241,Setup!$B$9:$B$18,0)),FALSE())),"# Too many tags","")))</f>
        <v/>
      </c>
      <c r="R241" s="16"/>
      <c r="S241" s="19"/>
      <c r="T241" s="19"/>
      <c r="U241" s="19"/>
      <c r="V241" s="19"/>
      <c r="W241" s="19"/>
      <c r="X241" s="19"/>
      <c r="Y241" s="19"/>
      <c r="Z241" s="47" t="str">
        <f aca="false">IF(COUNT(U241:X241)=0,"",SUM(U241:X241))</f>
        <v/>
      </c>
      <c r="AA241" s="48" t="str">
        <f aca="false">IF(OR(Z241="",N(T241)=0),"",Z241/T241)</f>
        <v/>
      </c>
      <c r="AB241" s="45"/>
      <c r="AC241" s="51" t="str">
        <f aca="false">IF(A241="","",A241+N(C241)+ROW()/10^7)</f>
        <v/>
      </c>
      <c r="AD241" s="51" t="str">
        <f aca="false">IF(A241="","",TEXT(A241,"0")&amp;"|"&amp;COUNTIFS('Content Log'!$A$5:$A$504,A241,'Content Log'!$AC$5:$AC$504,"&lt;="&amp;AC241))</f>
        <v/>
      </c>
      <c r="AE241" s="51" t="str">
        <f aca="false">IF(A241="","",IFERROR(INDEX(Setup!$N$9:$N$14,MATCH(O241,Setup!$M$9:$M$14,0))&amp;" ","")&amp;IF(C241="","",TEXT(C241,"h:mm AM/PM")&amp;" ")&amp;D241&amp;IF(H241="",""," · "&amp;H241))</f>
        <v/>
      </c>
      <c r="AF241" s="51" t="str">
        <f aca="false">IF(OR(A241="",AA241=""),"",IF(AND(A241&gt;=Dashboard!$G$4,A241&lt;=Dashboard!$I$4),AA241+ROW()/10^9,""))</f>
        <v/>
      </c>
      <c r="AG241" s="51" t="str">
        <f aca="false">IF(A241="","",WEEKDAY(A241,2))</f>
        <v/>
      </c>
    </row>
    <row r="242" customFormat="false" ht="15" hidden="false" customHeight="false" outlineLevel="0" collapsed="false">
      <c r="A242" s="43"/>
      <c r="B242" s="11" t="str">
        <f aca="false">IF(A242="","",TEXT(A242,"ddd"))</f>
        <v/>
      </c>
      <c r="C242" s="44"/>
      <c r="D242" s="16"/>
      <c r="E242" s="16"/>
      <c r="F242" s="16"/>
      <c r="G242" s="16"/>
      <c r="H242" s="45"/>
      <c r="I242" s="45"/>
      <c r="J242" s="11" t="str">
        <f aca="false">IF(I242="","",LEN(I242))</f>
        <v/>
      </c>
      <c r="K242" s="16"/>
      <c r="L242" s="16"/>
      <c r="M242" s="11" t="str">
        <f aca="false">IF(L242="","",IFERROR(INDEX('Hashtag Bank'!$E$5:$E$104,MATCH(L242,'Hashtag Bank'!$B$5:$B$104,0)),""))</f>
        <v/>
      </c>
      <c r="N242" s="16"/>
      <c r="O242" s="16"/>
      <c r="P242" s="16"/>
      <c r="Q242" s="46" t="str">
        <f aca="true">IF(A242&amp;H242="","",TRIM(IF(AND(A242&lt;&gt;"",A242&lt;TODAY(),O242&lt;&gt;"Published",O242&lt;&gt;"Repurpose"),"⚠ Overdue ","")&amp;IF(AND(J242&lt;&gt;"",D242&lt;&gt;"",IFERROR(J242&gt;INDEX(Setup!$E$9:$E$18,MATCH(D242,Setup!$B$9:$B$18,0)),FALSE())),"✂ Caption too long ","")&amp;IF(AND(M242&lt;&gt;"",D242&lt;&gt;"",IFERROR(M242&gt;INDEX(Setup!$F$9:$F$18,MATCH(D242,Setup!$B$9:$B$18,0)),FALSE())),"# Too many tags","")))</f>
        <v/>
      </c>
      <c r="R242" s="16"/>
      <c r="S242" s="19"/>
      <c r="T242" s="19"/>
      <c r="U242" s="19"/>
      <c r="V242" s="19"/>
      <c r="W242" s="19"/>
      <c r="X242" s="19"/>
      <c r="Y242" s="19"/>
      <c r="Z242" s="47" t="str">
        <f aca="false">IF(COUNT(U242:X242)=0,"",SUM(U242:X242))</f>
        <v/>
      </c>
      <c r="AA242" s="48" t="str">
        <f aca="false">IF(OR(Z242="",N(T242)=0),"",Z242/T242)</f>
        <v/>
      </c>
      <c r="AB242" s="45"/>
      <c r="AC242" s="51" t="str">
        <f aca="false">IF(A242="","",A242+N(C242)+ROW()/10^7)</f>
        <v/>
      </c>
      <c r="AD242" s="51" t="str">
        <f aca="false">IF(A242="","",TEXT(A242,"0")&amp;"|"&amp;COUNTIFS('Content Log'!$A$5:$A$504,A242,'Content Log'!$AC$5:$AC$504,"&lt;="&amp;AC242))</f>
        <v/>
      </c>
      <c r="AE242" s="51" t="str">
        <f aca="false">IF(A242="","",IFERROR(INDEX(Setup!$N$9:$N$14,MATCH(O242,Setup!$M$9:$M$14,0))&amp;" ","")&amp;IF(C242="","",TEXT(C242,"h:mm AM/PM")&amp;" ")&amp;D242&amp;IF(H242="",""," · "&amp;H242))</f>
        <v/>
      </c>
      <c r="AF242" s="51" t="str">
        <f aca="false">IF(OR(A242="",AA242=""),"",IF(AND(A242&gt;=Dashboard!$G$4,A242&lt;=Dashboard!$I$4),AA242+ROW()/10^9,""))</f>
        <v/>
      </c>
      <c r="AG242" s="51" t="str">
        <f aca="false">IF(A242="","",WEEKDAY(A242,2))</f>
        <v/>
      </c>
    </row>
    <row r="243" customFormat="false" ht="15" hidden="false" customHeight="false" outlineLevel="0" collapsed="false">
      <c r="A243" s="43"/>
      <c r="B243" s="11" t="str">
        <f aca="false">IF(A243="","",TEXT(A243,"ddd"))</f>
        <v/>
      </c>
      <c r="C243" s="44"/>
      <c r="D243" s="16"/>
      <c r="E243" s="16"/>
      <c r="F243" s="16"/>
      <c r="G243" s="16"/>
      <c r="H243" s="45"/>
      <c r="I243" s="45"/>
      <c r="J243" s="11" t="str">
        <f aca="false">IF(I243="","",LEN(I243))</f>
        <v/>
      </c>
      <c r="K243" s="16"/>
      <c r="L243" s="16"/>
      <c r="M243" s="11" t="str">
        <f aca="false">IF(L243="","",IFERROR(INDEX('Hashtag Bank'!$E$5:$E$104,MATCH(L243,'Hashtag Bank'!$B$5:$B$104,0)),""))</f>
        <v/>
      </c>
      <c r="N243" s="16"/>
      <c r="O243" s="16"/>
      <c r="P243" s="16"/>
      <c r="Q243" s="46" t="str">
        <f aca="true">IF(A243&amp;H243="","",TRIM(IF(AND(A243&lt;&gt;"",A243&lt;TODAY(),O243&lt;&gt;"Published",O243&lt;&gt;"Repurpose"),"⚠ Overdue ","")&amp;IF(AND(J243&lt;&gt;"",D243&lt;&gt;"",IFERROR(J243&gt;INDEX(Setup!$E$9:$E$18,MATCH(D243,Setup!$B$9:$B$18,0)),FALSE())),"✂ Caption too long ","")&amp;IF(AND(M243&lt;&gt;"",D243&lt;&gt;"",IFERROR(M243&gt;INDEX(Setup!$F$9:$F$18,MATCH(D243,Setup!$B$9:$B$18,0)),FALSE())),"# Too many tags","")))</f>
        <v/>
      </c>
      <c r="R243" s="16"/>
      <c r="S243" s="19"/>
      <c r="T243" s="19"/>
      <c r="U243" s="19"/>
      <c r="V243" s="19"/>
      <c r="W243" s="19"/>
      <c r="X243" s="19"/>
      <c r="Y243" s="19"/>
      <c r="Z243" s="47" t="str">
        <f aca="false">IF(COUNT(U243:X243)=0,"",SUM(U243:X243))</f>
        <v/>
      </c>
      <c r="AA243" s="48" t="str">
        <f aca="false">IF(OR(Z243="",N(T243)=0),"",Z243/T243)</f>
        <v/>
      </c>
      <c r="AB243" s="45"/>
      <c r="AC243" s="51" t="str">
        <f aca="false">IF(A243="","",A243+N(C243)+ROW()/10^7)</f>
        <v/>
      </c>
      <c r="AD243" s="51" t="str">
        <f aca="false">IF(A243="","",TEXT(A243,"0")&amp;"|"&amp;COUNTIFS('Content Log'!$A$5:$A$504,A243,'Content Log'!$AC$5:$AC$504,"&lt;="&amp;AC243))</f>
        <v/>
      </c>
      <c r="AE243" s="51" t="str">
        <f aca="false">IF(A243="","",IFERROR(INDEX(Setup!$N$9:$N$14,MATCH(O243,Setup!$M$9:$M$14,0))&amp;" ","")&amp;IF(C243="","",TEXT(C243,"h:mm AM/PM")&amp;" ")&amp;D243&amp;IF(H243="",""," · "&amp;H243))</f>
        <v/>
      </c>
      <c r="AF243" s="51" t="str">
        <f aca="false">IF(OR(A243="",AA243=""),"",IF(AND(A243&gt;=Dashboard!$G$4,A243&lt;=Dashboard!$I$4),AA243+ROW()/10^9,""))</f>
        <v/>
      </c>
      <c r="AG243" s="51" t="str">
        <f aca="false">IF(A243="","",WEEKDAY(A243,2))</f>
        <v/>
      </c>
    </row>
    <row r="244" customFormat="false" ht="15" hidden="false" customHeight="false" outlineLevel="0" collapsed="false">
      <c r="A244" s="43"/>
      <c r="B244" s="11" t="str">
        <f aca="false">IF(A244="","",TEXT(A244,"ddd"))</f>
        <v/>
      </c>
      <c r="C244" s="44"/>
      <c r="D244" s="16"/>
      <c r="E244" s="16"/>
      <c r="F244" s="16"/>
      <c r="G244" s="16"/>
      <c r="H244" s="45"/>
      <c r="I244" s="45"/>
      <c r="J244" s="11" t="str">
        <f aca="false">IF(I244="","",LEN(I244))</f>
        <v/>
      </c>
      <c r="K244" s="16"/>
      <c r="L244" s="16"/>
      <c r="M244" s="11" t="str">
        <f aca="false">IF(L244="","",IFERROR(INDEX('Hashtag Bank'!$E$5:$E$104,MATCH(L244,'Hashtag Bank'!$B$5:$B$104,0)),""))</f>
        <v/>
      </c>
      <c r="N244" s="16"/>
      <c r="O244" s="16"/>
      <c r="P244" s="16"/>
      <c r="Q244" s="46" t="str">
        <f aca="true">IF(A244&amp;H244="","",TRIM(IF(AND(A244&lt;&gt;"",A244&lt;TODAY(),O244&lt;&gt;"Published",O244&lt;&gt;"Repurpose"),"⚠ Overdue ","")&amp;IF(AND(J244&lt;&gt;"",D244&lt;&gt;"",IFERROR(J244&gt;INDEX(Setup!$E$9:$E$18,MATCH(D244,Setup!$B$9:$B$18,0)),FALSE())),"✂ Caption too long ","")&amp;IF(AND(M244&lt;&gt;"",D244&lt;&gt;"",IFERROR(M244&gt;INDEX(Setup!$F$9:$F$18,MATCH(D244,Setup!$B$9:$B$18,0)),FALSE())),"# Too many tags","")))</f>
        <v/>
      </c>
      <c r="R244" s="16"/>
      <c r="S244" s="19"/>
      <c r="T244" s="19"/>
      <c r="U244" s="19"/>
      <c r="V244" s="19"/>
      <c r="W244" s="19"/>
      <c r="X244" s="19"/>
      <c r="Y244" s="19"/>
      <c r="Z244" s="47" t="str">
        <f aca="false">IF(COUNT(U244:X244)=0,"",SUM(U244:X244))</f>
        <v/>
      </c>
      <c r="AA244" s="48" t="str">
        <f aca="false">IF(OR(Z244="",N(T244)=0),"",Z244/T244)</f>
        <v/>
      </c>
      <c r="AB244" s="45"/>
      <c r="AC244" s="51" t="str">
        <f aca="false">IF(A244="","",A244+N(C244)+ROW()/10^7)</f>
        <v/>
      </c>
      <c r="AD244" s="51" t="str">
        <f aca="false">IF(A244="","",TEXT(A244,"0")&amp;"|"&amp;COUNTIFS('Content Log'!$A$5:$A$504,A244,'Content Log'!$AC$5:$AC$504,"&lt;="&amp;AC244))</f>
        <v/>
      </c>
      <c r="AE244" s="51" t="str">
        <f aca="false">IF(A244="","",IFERROR(INDEX(Setup!$N$9:$N$14,MATCH(O244,Setup!$M$9:$M$14,0))&amp;" ","")&amp;IF(C244="","",TEXT(C244,"h:mm AM/PM")&amp;" ")&amp;D244&amp;IF(H244="",""," · "&amp;H244))</f>
        <v/>
      </c>
      <c r="AF244" s="51" t="str">
        <f aca="false">IF(OR(A244="",AA244=""),"",IF(AND(A244&gt;=Dashboard!$G$4,A244&lt;=Dashboard!$I$4),AA244+ROW()/10^9,""))</f>
        <v/>
      </c>
      <c r="AG244" s="51" t="str">
        <f aca="false">IF(A244="","",WEEKDAY(A244,2))</f>
        <v/>
      </c>
    </row>
    <row r="245" customFormat="false" ht="15" hidden="false" customHeight="false" outlineLevel="0" collapsed="false">
      <c r="A245" s="43"/>
      <c r="B245" s="11" t="str">
        <f aca="false">IF(A245="","",TEXT(A245,"ddd"))</f>
        <v/>
      </c>
      <c r="C245" s="44"/>
      <c r="D245" s="16"/>
      <c r="E245" s="16"/>
      <c r="F245" s="16"/>
      <c r="G245" s="16"/>
      <c r="H245" s="45"/>
      <c r="I245" s="45"/>
      <c r="J245" s="11" t="str">
        <f aca="false">IF(I245="","",LEN(I245))</f>
        <v/>
      </c>
      <c r="K245" s="16"/>
      <c r="L245" s="16"/>
      <c r="M245" s="11" t="str">
        <f aca="false">IF(L245="","",IFERROR(INDEX('Hashtag Bank'!$E$5:$E$104,MATCH(L245,'Hashtag Bank'!$B$5:$B$104,0)),""))</f>
        <v/>
      </c>
      <c r="N245" s="16"/>
      <c r="O245" s="16"/>
      <c r="P245" s="16"/>
      <c r="Q245" s="46" t="str">
        <f aca="true">IF(A245&amp;H245="","",TRIM(IF(AND(A245&lt;&gt;"",A245&lt;TODAY(),O245&lt;&gt;"Published",O245&lt;&gt;"Repurpose"),"⚠ Overdue ","")&amp;IF(AND(J245&lt;&gt;"",D245&lt;&gt;"",IFERROR(J245&gt;INDEX(Setup!$E$9:$E$18,MATCH(D245,Setup!$B$9:$B$18,0)),FALSE())),"✂ Caption too long ","")&amp;IF(AND(M245&lt;&gt;"",D245&lt;&gt;"",IFERROR(M245&gt;INDEX(Setup!$F$9:$F$18,MATCH(D245,Setup!$B$9:$B$18,0)),FALSE())),"# Too many tags","")))</f>
        <v/>
      </c>
      <c r="R245" s="16"/>
      <c r="S245" s="19"/>
      <c r="T245" s="19"/>
      <c r="U245" s="19"/>
      <c r="V245" s="19"/>
      <c r="W245" s="19"/>
      <c r="X245" s="19"/>
      <c r="Y245" s="19"/>
      <c r="Z245" s="47" t="str">
        <f aca="false">IF(COUNT(U245:X245)=0,"",SUM(U245:X245))</f>
        <v/>
      </c>
      <c r="AA245" s="48" t="str">
        <f aca="false">IF(OR(Z245="",N(T245)=0),"",Z245/T245)</f>
        <v/>
      </c>
      <c r="AB245" s="45"/>
      <c r="AC245" s="51" t="str">
        <f aca="false">IF(A245="","",A245+N(C245)+ROW()/10^7)</f>
        <v/>
      </c>
      <c r="AD245" s="51" t="str">
        <f aca="false">IF(A245="","",TEXT(A245,"0")&amp;"|"&amp;COUNTIFS('Content Log'!$A$5:$A$504,A245,'Content Log'!$AC$5:$AC$504,"&lt;="&amp;AC245))</f>
        <v/>
      </c>
      <c r="AE245" s="51" t="str">
        <f aca="false">IF(A245="","",IFERROR(INDEX(Setup!$N$9:$N$14,MATCH(O245,Setup!$M$9:$M$14,0))&amp;" ","")&amp;IF(C245="","",TEXT(C245,"h:mm AM/PM")&amp;" ")&amp;D245&amp;IF(H245="",""," · "&amp;H245))</f>
        <v/>
      </c>
      <c r="AF245" s="51" t="str">
        <f aca="false">IF(OR(A245="",AA245=""),"",IF(AND(A245&gt;=Dashboard!$G$4,A245&lt;=Dashboard!$I$4),AA245+ROW()/10^9,""))</f>
        <v/>
      </c>
      <c r="AG245" s="51" t="str">
        <f aca="false">IF(A245="","",WEEKDAY(A245,2))</f>
        <v/>
      </c>
    </row>
    <row r="246" customFormat="false" ht="15" hidden="false" customHeight="false" outlineLevel="0" collapsed="false">
      <c r="A246" s="43"/>
      <c r="B246" s="11" t="str">
        <f aca="false">IF(A246="","",TEXT(A246,"ddd"))</f>
        <v/>
      </c>
      <c r="C246" s="44"/>
      <c r="D246" s="16"/>
      <c r="E246" s="16"/>
      <c r="F246" s="16"/>
      <c r="G246" s="16"/>
      <c r="H246" s="45"/>
      <c r="I246" s="45"/>
      <c r="J246" s="11" t="str">
        <f aca="false">IF(I246="","",LEN(I246))</f>
        <v/>
      </c>
      <c r="K246" s="16"/>
      <c r="L246" s="16"/>
      <c r="M246" s="11" t="str">
        <f aca="false">IF(L246="","",IFERROR(INDEX('Hashtag Bank'!$E$5:$E$104,MATCH(L246,'Hashtag Bank'!$B$5:$B$104,0)),""))</f>
        <v/>
      </c>
      <c r="N246" s="16"/>
      <c r="O246" s="16"/>
      <c r="P246" s="16"/>
      <c r="Q246" s="46" t="str">
        <f aca="true">IF(A246&amp;H246="","",TRIM(IF(AND(A246&lt;&gt;"",A246&lt;TODAY(),O246&lt;&gt;"Published",O246&lt;&gt;"Repurpose"),"⚠ Overdue ","")&amp;IF(AND(J246&lt;&gt;"",D246&lt;&gt;"",IFERROR(J246&gt;INDEX(Setup!$E$9:$E$18,MATCH(D246,Setup!$B$9:$B$18,0)),FALSE())),"✂ Caption too long ","")&amp;IF(AND(M246&lt;&gt;"",D246&lt;&gt;"",IFERROR(M246&gt;INDEX(Setup!$F$9:$F$18,MATCH(D246,Setup!$B$9:$B$18,0)),FALSE())),"# Too many tags","")))</f>
        <v/>
      </c>
      <c r="R246" s="16"/>
      <c r="S246" s="19"/>
      <c r="T246" s="19"/>
      <c r="U246" s="19"/>
      <c r="V246" s="19"/>
      <c r="W246" s="19"/>
      <c r="X246" s="19"/>
      <c r="Y246" s="19"/>
      <c r="Z246" s="47" t="str">
        <f aca="false">IF(COUNT(U246:X246)=0,"",SUM(U246:X246))</f>
        <v/>
      </c>
      <c r="AA246" s="48" t="str">
        <f aca="false">IF(OR(Z246="",N(T246)=0),"",Z246/T246)</f>
        <v/>
      </c>
      <c r="AB246" s="45"/>
      <c r="AC246" s="51" t="str">
        <f aca="false">IF(A246="","",A246+N(C246)+ROW()/10^7)</f>
        <v/>
      </c>
      <c r="AD246" s="51" t="str">
        <f aca="false">IF(A246="","",TEXT(A246,"0")&amp;"|"&amp;COUNTIFS('Content Log'!$A$5:$A$504,A246,'Content Log'!$AC$5:$AC$504,"&lt;="&amp;AC246))</f>
        <v/>
      </c>
      <c r="AE246" s="51" t="str">
        <f aca="false">IF(A246="","",IFERROR(INDEX(Setup!$N$9:$N$14,MATCH(O246,Setup!$M$9:$M$14,0))&amp;" ","")&amp;IF(C246="","",TEXT(C246,"h:mm AM/PM")&amp;" ")&amp;D246&amp;IF(H246="",""," · "&amp;H246))</f>
        <v/>
      </c>
      <c r="AF246" s="51" t="str">
        <f aca="false">IF(OR(A246="",AA246=""),"",IF(AND(A246&gt;=Dashboard!$G$4,A246&lt;=Dashboard!$I$4),AA246+ROW()/10^9,""))</f>
        <v/>
      </c>
      <c r="AG246" s="51" t="str">
        <f aca="false">IF(A246="","",WEEKDAY(A246,2))</f>
        <v/>
      </c>
    </row>
    <row r="247" customFormat="false" ht="15" hidden="false" customHeight="false" outlineLevel="0" collapsed="false">
      <c r="A247" s="43"/>
      <c r="B247" s="11" t="str">
        <f aca="false">IF(A247="","",TEXT(A247,"ddd"))</f>
        <v/>
      </c>
      <c r="C247" s="44"/>
      <c r="D247" s="16"/>
      <c r="E247" s="16"/>
      <c r="F247" s="16"/>
      <c r="G247" s="16"/>
      <c r="H247" s="45"/>
      <c r="I247" s="45"/>
      <c r="J247" s="11" t="str">
        <f aca="false">IF(I247="","",LEN(I247))</f>
        <v/>
      </c>
      <c r="K247" s="16"/>
      <c r="L247" s="16"/>
      <c r="M247" s="11" t="str">
        <f aca="false">IF(L247="","",IFERROR(INDEX('Hashtag Bank'!$E$5:$E$104,MATCH(L247,'Hashtag Bank'!$B$5:$B$104,0)),""))</f>
        <v/>
      </c>
      <c r="N247" s="16"/>
      <c r="O247" s="16"/>
      <c r="P247" s="16"/>
      <c r="Q247" s="46" t="str">
        <f aca="true">IF(A247&amp;H247="","",TRIM(IF(AND(A247&lt;&gt;"",A247&lt;TODAY(),O247&lt;&gt;"Published",O247&lt;&gt;"Repurpose"),"⚠ Overdue ","")&amp;IF(AND(J247&lt;&gt;"",D247&lt;&gt;"",IFERROR(J247&gt;INDEX(Setup!$E$9:$E$18,MATCH(D247,Setup!$B$9:$B$18,0)),FALSE())),"✂ Caption too long ","")&amp;IF(AND(M247&lt;&gt;"",D247&lt;&gt;"",IFERROR(M247&gt;INDEX(Setup!$F$9:$F$18,MATCH(D247,Setup!$B$9:$B$18,0)),FALSE())),"# Too many tags","")))</f>
        <v/>
      </c>
      <c r="R247" s="16"/>
      <c r="S247" s="19"/>
      <c r="T247" s="19"/>
      <c r="U247" s="19"/>
      <c r="V247" s="19"/>
      <c r="W247" s="19"/>
      <c r="X247" s="19"/>
      <c r="Y247" s="19"/>
      <c r="Z247" s="47" t="str">
        <f aca="false">IF(COUNT(U247:X247)=0,"",SUM(U247:X247))</f>
        <v/>
      </c>
      <c r="AA247" s="48" t="str">
        <f aca="false">IF(OR(Z247="",N(T247)=0),"",Z247/T247)</f>
        <v/>
      </c>
      <c r="AB247" s="45"/>
      <c r="AC247" s="51" t="str">
        <f aca="false">IF(A247="","",A247+N(C247)+ROW()/10^7)</f>
        <v/>
      </c>
      <c r="AD247" s="51" t="str">
        <f aca="false">IF(A247="","",TEXT(A247,"0")&amp;"|"&amp;COUNTIFS('Content Log'!$A$5:$A$504,A247,'Content Log'!$AC$5:$AC$504,"&lt;="&amp;AC247))</f>
        <v/>
      </c>
      <c r="AE247" s="51" t="str">
        <f aca="false">IF(A247="","",IFERROR(INDEX(Setup!$N$9:$N$14,MATCH(O247,Setup!$M$9:$M$14,0))&amp;" ","")&amp;IF(C247="","",TEXT(C247,"h:mm AM/PM")&amp;" ")&amp;D247&amp;IF(H247="",""," · "&amp;H247))</f>
        <v/>
      </c>
      <c r="AF247" s="51" t="str">
        <f aca="false">IF(OR(A247="",AA247=""),"",IF(AND(A247&gt;=Dashboard!$G$4,A247&lt;=Dashboard!$I$4),AA247+ROW()/10^9,""))</f>
        <v/>
      </c>
      <c r="AG247" s="51" t="str">
        <f aca="false">IF(A247="","",WEEKDAY(A247,2))</f>
        <v/>
      </c>
    </row>
    <row r="248" customFormat="false" ht="15" hidden="false" customHeight="false" outlineLevel="0" collapsed="false">
      <c r="A248" s="43"/>
      <c r="B248" s="11" t="str">
        <f aca="false">IF(A248="","",TEXT(A248,"ddd"))</f>
        <v/>
      </c>
      <c r="C248" s="44"/>
      <c r="D248" s="16"/>
      <c r="E248" s="16"/>
      <c r="F248" s="16"/>
      <c r="G248" s="16"/>
      <c r="H248" s="45"/>
      <c r="I248" s="45"/>
      <c r="J248" s="11" t="str">
        <f aca="false">IF(I248="","",LEN(I248))</f>
        <v/>
      </c>
      <c r="K248" s="16"/>
      <c r="L248" s="16"/>
      <c r="M248" s="11" t="str">
        <f aca="false">IF(L248="","",IFERROR(INDEX('Hashtag Bank'!$E$5:$E$104,MATCH(L248,'Hashtag Bank'!$B$5:$B$104,0)),""))</f>
        <v/>
      </c>
      <c r="N248" s="16"/>
      <c r="O248" s="16"/>
      <c r="P248" s="16"/>
      <c r="Q248" s="46" t="str">
        <f aca="true">IF(A248&amp;H248="","",TRIM(IF(AND(A248&lt;&gt;"",A248&lt;TODAY(),O248&lt;&gt;"Published",O248&lt;&gt;"Repurpose"),"⚠ Overdue ","")&amp;IF(AND(J248&lt;&gt;"",D248&lt;&gt;"",IFERROR(J248&gt;INDEX(Setup!$E$9:$E$18,MATCH(D248,Setup!$B$9:$B$18,0)),FALSE())),"✂ Caption too long ","")&amp;IF(AND(M248&lt;&gt;"",D248&lt;&gt;"",IFERROR(M248&gt;INDEX(Setup!$F$9:$F$18,MATCH(D248,Setup!$B$9:$B$18,0)),FALSE())),"# Too many tags","")))</f>
        <v/>
      </c>
      <c r="R248" s="16"/>
      <c r="S248" s="19"/>
      <c r="T248" s="19"/>
      <c r="U248" s="19"/>
      <c r="V248" s="19"/>
      <c r="W248" s="19"/>
      <c r="X248" s="19"/>
      <c r="Y248" s="19"/>
      <c r="Z248" s="47" t="str">
        <f aca="false">IF(COUNT(U248:X248)=0,"",SUM(U248:X248))</f>
        <v/>
      </c>
      <c r="AA248" s="48" t="str">
        <f aca="false">IF(OR(Z248="",N(T248)=0),"",Z248/T248)</f>
        <v/>
      </c>
      <c r="AB248" s="45"/>
      <c r="AC248" s="51" t="str">
        <f aca="false">IF(A248="","",A248+N(C248)+ROW()/10^7)</f>
        <v/>
      </c>
      <c r="AD248" s="51" t="str">
        <f aca="false">IF(A248="","",TEXT(A248,"0")&amp;"|"&amp;COUNTIFS('Content Log'!$A$5:$A$504,A248,'Content Log'!$AC$5:$AC$504,"&lt;="&amp;AC248))</f>
        <v/>
      </c>
      <c r="AE248" s="51" t="str">
        <f aca="false">IF(A248="","",IFERROR(INDEX(Setup!$N$9:$N$14,MATCH(O248,Setup!$M$9:$M$14,0))&amp;" ","")&amp;IF(C248="","",TEXT(C248,"h:mm AM/PM")&amp;" ")&amp;D248&amp;IF(H248="",""," · "&amp;H248))</f>
        <v/>
      </c>
      <c r="AF248" s="51" t="str">
        <f aca="false">IF(OR(A248="",AA248=""),"",IF(AND(A248&gt;=Dashboard!$G$4,A248&lt;=Dashboard!$I$4),AA248+ROW()/10^9,""))</f>
        <v/>
      </c>
      <c r="AG248" s="51" t="str">
        <f aca="false">IF(A248="","",WEEKDAY(A248,2))</f>
        <v/>
      </c>
    </row>
    <row r="249" customFormat="false" ht="15" hidden="false" customHeight="false" outlineLevel="0" collapsed="false">
      <c r="A249" s="43"/>
      <c r="B249" s="11" t="str">
        <f aca="false">IF(A249="","",TEXT(A249,"ddd"))</f>
        <v/>
      </c>
      <c r="C249" s="44"/>
      <c r="D249" s="16"/>
      <c r="E249" s="16"/>
      <c r="F249" s="16"/>
      <c r="G249" s="16"/>
      <c r="H249" s="45"/>
      <c r="I249" s="45"/>
      <c r="J249" s="11" t="str">
        <f aca="false">IF(I249="","",LEN(I249))</f>
        <v/>
      </c>
      <c r="K249" s="16"/>
      <c r="L249" s="16"/>
      <c r="M249" s="11" t="str">
        <f aca="false">IF(L249="","",IFERROR(INDEX('Hashtag Bank'!$E$5:$E$104,MATCH(L249,'Hashtag Bank'!$B$5:$B$104,0)),""))</f>
        <v/>
      </c>
      <c r="N249" s="16"/>
      <c r="O249" s="16"/>
      <c r="P249" s="16"/>
      <c r="Q249" s="46" t="str">
        <f aca="true">IF(A249&amp;H249="","",TRIM(IF(AND(A249&lt;&gt;"",A249&lt;TODAY(),O249&lt;&gt;"Published",O249&lt;&gt;"Repurpose"),"⚠ Overdue ","")&amp;IF(AND(J249&lt;&gt;"",D249&lt;&gt;"",IFERROR(J249&gt;INDEX(Setup!$E$9:$E$18,MATCH(D249,Setup!$B$9:$B$18,0)),FALSE())),"✂ Caption too long ","")&amp;IF(AND(M249&lt;&gt;"",D249&lt;&gt;"",IFERROR(M249&gt;INDEX(Setup!$F$9:$F$18,MATCH(D249,Setup!$B$9:$B$18,0)),FALSE())),"# Too many tags","")))</f>
        <v/>
      </c>
      <c r="R249" s="16"/>
      <c r="S249" s="19"/>
      <c r="T249" s="19"/>
      <c r="U249" s="19"/>
      <c r="V249" s="19"/>
      <c r="W249" s="19"/>
      <c r="X249" s="19"/>
      <c r="Y249" s="19"/>
      <c r="Z249" s="47" t="str">
        <f aca="false">IF(COUNT(U249:X249)=0,"",SUM(U249:X249))</f>
        <v/>
      </c>
      <c r="AA249" s="48" t="str">
        <f aca="false">IF(OR(Z249="",N(T249)=0),"",Z249/T249)</f>
        <v/>
      </c>
      <c r="AB249" s="45"/>
      <c r="AC249" s="51" t="str">
        <f aca="false">IF(A249="","",A249+N(C249)+ROW()/10^7)</f>
        <v/>
      </c>
      <c r="AD249" s="51" t="str">
        <f aca="false">IF(A249="","",TEXT(A249,"0")&amp;"|"&amp;COUNTIFS('Content Log'!$A$5:$A$504,A249,'Content Log'!$AC$5:$AC$504,"&lt;="&amp;AC249))</f>
        <v/>
      </c>
      <c r="AE249" s="51" t="str">
        <f aca="false">IF(A249="","",IFERROR(INDEX(Setup!$N$9:$N$14,MATCH(O249,Setup!$M$9:$M$14,0))&amp;" ","")&amp;IF(C249="","",TEXT(C249,"h:mm AM/PM")&amp;" ")&amp;D249&amp;IF(H249="",""," · "&amp;H249))</f>
        <v/>
      </c>
      <c r="AF249" s="51" t="str">
        <f aca="false">IF(OR(A249="",AA249=""),"",IF(AND(A249&gt;=Dashboard!$G$4,A249&lt;=Dashboard!$I$4),AA249+ROW()/10^9,""))</f>
        <v/>
      </c>
      <c r="AG249" s="51" t="str">
        <f aca="false">IF(A249="","",WEEKDAY(A249,2))</f>
        <v/>
      </c>
    </row>
    <row r="250" customFormat="false" ht="15" hidden="false" customHeight="false" outlineLevel="0" collapsed="false">
      <c r="A250" s="43"/>
      <c r="B250" s="11" t="str">
        <f aca="false">IF(A250="","",TEXT(A250,"ddd"))</f>
        <v/>
      </c>
      <c r="C250" s="44"/>
      <c r="D250" s="16"/>
      <c r="E250" s="16"/>
      <c r="F250" s="16"/>
      <c r="G250" s="16"/>
      <c r="H250" s="45"/>
      <c r="I250" s="45"/>
      <c r="J250" s="11" t="str">
        <f aca="false">IF(I250="","",LEN(I250))</f>
        <v/>
      </c>
      <c r="K250" s="16"/>
      <c r="L250" s="16"/>
      <c r="M250" s="11" t="str">
        <f aca="false">IF(L250="","",IFERROR(INDEX('Hashtag Bank'!$E$5:$E$104,MATCH(L250,'Hashtag Bank'!$B$5:$B$104,0)),""))</f>
        <v/>
      </c>
      <c r="N250" s="16"/>
      <c r="O250" s="16"/>
      <c r="P250" s="16"/>
      <c r="Q250" s="46" t="str">
        <f aca="true">IF(A250&amp;H250="","",TRIM(IF(AND(A250&lt;&gt;"",A250&lt;TODAY(),O250&lt;&gt;"Published",O250&lt;&gt;"Repurpose"),"⚠ Overdue ","")&amp;IF(AND(J250&lt;&gt;"",D250&lt;&gt;"",IFERROR(J250&gt;INDEX(Setup!$E$9:$E$18,MATCH(D250,Setup!$B$9:$B$18,0)),FALSE())),"✂ Caption too long ","")&amp;IF(AND(M250&lt;&gt;"",D250&lt;&gt;"",IFERROR(M250&gt;INDEX(Setup!$F$9:$F$18,MATCH(D250,Setup!$B$9:$B$18,0)),FALSE())),"# Too many tags","")))</f>
        <v/>
      </c>
      <c r="R250" s="16"/>
      <c r="S250" s="19"/>
      <c r="T250" s="19"/>
      <c r="U250" s="19"/>
      <c r="V250" s="19"/>
      <c r="W250" s="19"/>
      <c r="X250" s="19"/>
      <c r="Y250" s="19"/>
      <c r="Z250" s="47" t="str">
        <f aca="false">IF(COUNT(U250:X250)=0,"",SUM(U250:X250))</f>
        <v/>
      </c>
      <c r="AA250" s="48" t="str">
        <f aca="false">IF(OR(Z250="",N(T250)=0),"",Z250/T250)</f>
        <v/>
      </c>
      <c r="AB250" s="45"/>
      <c r="AC250" s="51" t="str">
        <f aca="false">IF(A250="","",A250+N(C250)+ROW()/10^7)</f>
        <v/>
      </c>
      <c r="AD250" s="51" t="str">
        <f aca="false">IF(A250="","",TEXT(A250,"0")&amp;"|"&amp;COUNTIFS('Content Log'!$A$5:$A$504,A250,'Content Log'!$AC$5:$AC$504,"&lt;="&amp;AC250))</f>
        <v/>
      </c>
      <c r="AE250" s="51" t="str">
        <f aca="false">IF(A250="","",IFERROR(INDEX(Setup!$N$9:$N$14,MATCH(O250,Setup!$M$9:$M$14,0))&amp;" ","")&amp;IF(C250="","",TEXT(C250,"h:mm AM/PM")&amp;" ")&amp;D250&amp;IF(H250="",""," · "&amp;H250))</f>
        <v/>
      </c>
      <c r="AF250" s="51" t="str">
        <f aca="false">IF(OR(A250="",AA250=""),"",IF(AND(A250&gt;=Dashboard!$G$4,A250&lt;=Dashboard!$I$4),AA250+ROW()/10^9,""))</f>
        <v/>
      </c>
      <c r="AG250" s="51" t="str">
        <f aca="false">IF(A250="","",WEEKDAY(A250,2))</f>
        <v/>
      </c>
    </row>
    <row r="251" customFormat="false" ht="15" hidden="false" customHeight="false" outlineLevel="0" collapsed="false">
      <c r="A251" s="43"/>
      <c r="B251" s="11" t="str">
        <f aca="false">IF(A251="","",TEXT(A251,"ddd"))</f>
        <v/>
      </c>
      <c r="C251" s="44"/>
      <c r="D251" s="16"/>
      <c r="E251" s="16"/>
      <c r="F251" s="16"/>
      <c r="G251" s="16"/>
      <c r="H251" s="45"/>
      <c r="I251" s="45"/>
      <c r="J251" s="11" t="str">
        <f aca="false">IF(I251="","",LEN(I251))</f>
        <v/>
      </c>
      <c r="K251" s="16"/>
      <c r="L251" s="16"/>
      <c r="M251" s="11" t="str">
        <f aca="false">IF(L251="","",IFERROR(INDEX('Hashtag Bank'!$E$5:$E$104,MATCH(L251,'Hashtag Bank'!$B$5:$B$104,0)),""))</f>
        <v/>
      </c>
      <c r="N251" s="16"/>
      <c r="O251" s="16"/>
      <c r="P251" s="16"/>
      <c r="Q251" s="46" t="str">
        <f aca="true">IF(A251&amp;H251="","",TRIM(IF(AND(A251&lt;&gt;"",A251&lt;TODAY(),O251&lt;&gt;"Published",O251&lt;&gt;"Repurpose"),"⚠ Overdue ","")&amp;IF(AND(J251&lt;&gt;"",D251&lt;&gt;"",IFERROR(J251&gt;INDEX(Setup!$E$9:$E$18,MATCH(D251,Setup!$B$9:$B$18,0)),FALSE())),"✂ Caption too long ","")&amp;IF(AND(M251&lt;&gt;"",D251&lt;&gt;"",IFERROR(M251&gt;INDEX(Setup!$F$9:$F$18,MATCH(D251,Setup!$B$9:$B$18,0)),FALSE())),"# Too many tags","")))</f>
        <v/>
      </c>
      <c r="R251" s="16"/>
      <c r="S251" s="19"/>
      <c r="T251" s="19"/>
      <c r="U251" s="19"/>
      <c r="V251" s="19"/>
      <c r="W251" s="19"/>
      <c r="X251" s="19"/>
      <c r="Y251" s="19"/>
      <c r="Z251" s="47" t="str">
        <f aca="false">IF(COUNT(U251:X251)=0,"",SUM(U251:X251))</f>
        <v/>
      </c>
      <c r="AA251" s="48" t="str">
        <f aca="false">IF(OR(Z251="",N(T251)=0),"",Z251/T251)</f>
        <v/>
      </c>
      <c r="AB251" s="45"/>
      <c r="AC251" s="51" t="str">
        <f aca="false">IF(A251="","",A251+N(C251)+ROW()/10^7)</f>
        <v/>
      </c>
      <c r="AD251" s="51" t="str">
        <f aca="false">IF(A251="","",TEXT(A251,"0")&amp;"|"&amp;COUNTIFS('Content Log'!$A$5:$A$504,A251,'Content Log'!$AC$5:$AC$504,"&lt;="&amp;AC251))</f>
        <v/>
      </c>
      <c r="AE251" s="51" t="str">
        <f aca="false">IF(A251="","",IFERROR(INDEX(Setup!$N$9:$N$14,MATCH(O251,Setup!$M$9:$M$14,0))&amp;" ","")&amp;IF(C251="","",TEXT(C251,"h:mm AM/PM")&amp;" ")&amp;D251&amp;IF(H251="",""," · "&amp;H251))</f>
        <v/>
      </c>
      <c r="AF251" s="51" t="str">
        <f aca="false">IF(OR(A251="",AA251=""),"",IF(AND(A251&gt;=Dashboard!$G$4,A251&lt;=Dashboard!$I$4),AA251+ROW()/10^9,""))</f>
        <v/>
      </c>
      <c r="AG251" s="51" t="str">
        <f aca="false">IF(A251="","",WEEKDAY(A251,2))</f>
        <v/>
      </c>
    </row>
    <row r="252" customFormat="false" ht="15" hidden="false" customHeight="false" outlineLevel="0" collapsed="false">
      <c r="A252" s="43"/>
      <c r="B252" s="11" t="str">
        <f aca="false">IF(A252="","",TEXT(A252,"ddd"))</f>
        <v/>
      </c>
      <c r="C252" s="44"/>
      <c r="D252" s="16"/>
      <c r="E252" s="16"/>
      <c r="F252" s="16"/>
      <c r="G252" s="16"/>
      <c r="H252" s="45"/>
      <c r="I252" s="45"/>
      <c r="J252" s="11" t="str">
        <f aca="false">IF(I252="","",LEN(I252))</f>
        <v/>
      </c>
      <c r="K252" s="16"/>
      <c r="L252" s="16"/>
      <c r="M252" s="11" t="str">
        <f aca="false">IF(L252="","",IFERROR(INDEX('Hashtag Bank'!$E$5:$E$104,MATCH(L252,'Hashtag Bank'!$B$5:$B$104,0)),""))</f>
        <v/>
      </c>
      <c r="N252" s="16"/>
      <c r="O252" s="16"/>
      <c r="P252" s="16"/>
      <c r="Q252" s="46" t="str">
        <f aca="true">IF(A252&amp;H252="","",TRIM(IF(AND(A252&lt;&gt;"",A252&lt;TODAY(),O252&lt;&gt;"Published",O252&lt;&gt;"Repurpose"),"⚠ Overdue ","")&amp;IF(AND(J252&lt;&gt;"",D252&lt;&gt;"",IFERROR(J252&gt;INDEX(Setup!$E$9:$E$18,MATCH(D252,Setup!$B$9:$B$18,0)),FALSE())),"✂ Caption too long ","")&amp;IF(AND(M252&lt;&gt;"",D252&lt;&gt;"",IFERROR(M252&gt;INDEX(Setup!$F$9:$F$18,MATCH(D252,Setup!$B$9:$B$18,0)),FALSE())),"# Too many tags","")))</f>
        <v/>
      </c>
      <c r="R252" s="16"/>
      <c r="S252" s="19"/>
      <c r="T252" s="19"/>
      <c r="U252" s="19"/>
      <c r="V252" s="19"/>
      <c r="W252" s="19"/>
      <c r="X252" s="19"/>
      <c r="Y252" s="19"/>
      <c r="Z252" s="47" t="str">
        <f aca="false">IF(COUNT(U252:X252)=0,"",SUM(U252:X252))</f>
        <v/>
      </c>
      <c r="AA252" s="48" t="str">
        <f aca="false">IF(OR(Z252="",N(T252)=0),"",Z252/T252)</f>
        <v/>
      </c>
      <c r="AB252" s="45"/>
      <c r="AC252" s="51" t="str">
        <f aca="false">IF(A252="","",A252+N(C252)+ROW()/10^7)</f>
        <v/>
      </c>
      <c r="AD252" s="51" t="str">
        <f aca="false">IF(A252="","",TEXT(A252,"0")&amp;"|"&amp;COUNTIFS('Content Log'!$A$5:$A$504,A252,'Content Log'!$AC$5:$AC$504,"&lt;="&amp;AC252))</f>
        <v/>
      </c>
      <c r="AE252" s="51" t="str">
        <f aca="false">IF(A252="","",IFERROR(INDEX(Setup!$N$9:$N$14,MATCH(O252,Setup!$M$9:$M$14,0))&amp;" ","")&amp;IF(C252="","",TEXT(C252,"h:mm AM/PM")&amp;" ")&amp;D252&amp;IF(H252="",""," · "&amp;H252))</f>
        <v/>
      </c>
      <c r="AF252" s="51" t="str">
        <f aca="false">IF(OR(A252="",AA252=""),"",IF(AND(A252&gt;=Dashboard!$G$4,A252&lt;=Dashboard!$I$4),AA252+ROW()/10^9,""))</f>
        <v/>
      </c>
      <c r="AG252" s="51" t="str">
        <f aca="false">IF(A252="","",WEEKDAY(A252,2))</f>
        <v/>
      </c>
    </row>
    <row r="253" customFormat="false" ht="15" hidden="false" customHeight="false" outlineLevel="0" collapsed="false">
      <c r="A253" s="43"/>
      <c r="B253" s="11" t="str">
        <f aca="false">IF(A253="","",TEXT(A253,"ddd"))</f>
        <v/>
      </c>
      <c r="C253" s="44"/>
      <c r="D253" s="16"/>
      <c r="E253" s="16"/>
      <c r="F253" s="16"/>
      <c r="G253" s="16"/>
      <c r="H253" s="45"/>
      <c r="I253" s="45"/>
      <c r="J253" s="11" t="str">
        <f aca="false">IF(I253="","",LEN(I253))</f>
        <v/>
      </c>
      <c r="K253" s="16"/>
      <c r="L253" s="16"/>
      <c r="M253" s="11" t="str">
        <f aca="false">IF(L253="","",IFERROR(INDEX('Hashtag Bank'!$E$5:$E$104,MATCH(L253,'Hashtag Bank'!$B$5:$B$104,0)),""))</f>
        <v/>
      </c>
      <c r="N253" s="16"/>
      <c r="O253" s="16"/>
      <c r="P253" s="16"/>
      <c r="Q253" s="46" t="str">
        <f aca="true">IF(A253&amp;H253="","",TRIM(IF(AND(A253&lt;&gt;"",A253&lt;TODAY(),O253&lt;&gt;"Published",O253&lt;&gt;"Repurpose"),"⚠ Overdue ","")&amp;IF(AND(J253&lt;&gt;"",D253&lt;&gt;"",IFERROR(J253&gt;INDEX(Setup!$E$9:$E$18,MATCH(D253,Setup!$B$9:$B$18,0)),FALSE())),"✂ Caption too long ","")&amp;IF(AND(M253&lt;&gt;"",D253&lt;&gt;"",IFERROR(M253&gt;INDEX(Setup!$F$9:$F$18,MATCH(D253,Setup!$B$9:$B$18,0)),FALSE())),"# Too many tags","")))</f>
        <v/>
      </c>
      <c r="R253" s="16"/>
      <c r="S253" s="19"/>
      <c r="T253" s="19"/>
      <c r="U253" s="19"/>
      <c r="V253" s="19"/>
      <c r="W253" s="19"/>
      <c r="X253" s="19"/>
      <c r="Y253" s="19"/>
      <c r="Z253" s="47" t="str">
        <f aca="false">IF(COUNT(U253:X253)=0,"",SUM(U253:X253))</f>
        <v/>
      </c>
      <c r="AA253" s="48" t="str">
        <f aca="false">IF(OR(Z253="",N(T253)=0),"",Z253/T253)</f>
        <v/>
      </c>
      <c r="AB253" s="45"/>
      <c r="AC253" s="51" t="str">
        <f aca="false">IF(A253="","",A253+N(C253)+ROW()/10^7)</f>
        <v/>
      </c>
      <c r="AD253" s="51" t="str">
        <f aca="false">IF(A253="","",TEXT(A253,"0")&amp;"|"&amp;COUNTIFS('Content Log'!$A$5:$A$504,A253,'Content Log'!$AC$5:$AC$504,"&lt;="&amp;AC253))</f>
        <v/>
      </c>
      <c r="AE253" s="51" t="str">
        <f aca="false">IF(A253="","",IFERROR(INDEX(Setup!$N$9:$N$14,MATCH(O253,Setup!$M$9:$M$14,0))&amp;" ","")&amp;IF(C253="","",TEXT(C253,"h:mm AM/PM")&amp;" ")&amp;D253&amp;IF(H253="",""," · "&amp;H253))</f>
        <v/>
      </c>
      <c r="AF253" s="51" t="str">
        <f aca="false">IF(OR(A253="",AA253=""),"",IF(AND(A253&gt;=Dashboard!$G$4,A253&lt;=Dashboard!$I$4),AA253+ROW()/10^9,""))</f>
        <v/>
      </c>
      <c r="AG253" s="51" t="str">
        <f aca="false">IF(A253="","",WEEKDAY(A253,2))</f>
        <v/>
      </c>
    </row>
    <row r="254" customFormat="false" ht="15" hidden="false" customHeight="false" outlineLevel="0" collapsed="false">
      <c r="A254" s="43"/>
      <c r="B254" s="11" t="str">
        <f aca="false">IF(A254="","",TEXT(A254,"ddd"))</f>
        <v/>
      </c>
      <c r="C254" s="44"/>
      <c r="D254" s="16"/>
      <c r="E254" s="16"/>
      <c r="F254" s="16"/>
      <c r="G254" s="16"/>
      <c r="H254" s="45"/>
      <c r="I254" s="45"/>
      <c r="J254" s="11" t="str">
        <f aca="false">IF(I254="","",LEN(I254))</f>
        <v/>
      </c>
      <c r="K254" s="16"/>
      <c r="L254" s="16"/>
      <c r="M254" s="11" t="str">
        <f aca="false">IF(L254="","",IFERROR(INDEX('Hashtag Bank'!$E$5:$E$104,MATCH(L254,'Hashtag Bank'!$B$5:$B$104,0)),""))</f>
        <v/>
      </c>
      <c r="N254" s="16"/>
      <c r="O254" s="16"/>
      <c r="P254" s="16"/>
      <c r="Q254" s="46" t="str">
        <f aca="true">IF(A254&amp;H254="","",TRIM(IF(AND(A254&lt;&gt;"",A254&lt;TODAY(),O254&lt;&gt;"Published",O254&lt;&gt;"Repurpose"),"⚠ Overdue ","")&amp;IF(AND(J254&lt;&gt;"",D254&lt;&gt;"",IFERROR(J254&gt;INDEX(Setup!$E$9:$E$18,MATCH(D254,Setup!$B$9:$B$18,0)),FALSE())),"✂ Caption too long ","")&amp;IF(AND(M254&lt;&gt;"",D254&lt;&gt;"",IFERROR(M254&gt;INDEX(Setup!$F$9:$F$18,MATCH(D254,Setup!$B$9:$B$18,0)),FALSE())),"# Too many tags","")))</f>
        <v/>
      </c>
      <c r="R254" s="16"/>
      <c r="S254" s="19"/>
      <c r="T254" s="19"/>
      <c r="U254" s="19"/>
      <c r="V254" s="19"/>
      <c r="W254" s="19"/>
      <c r="X254" s="19"/>
      <c r="Y254" s="19"/>
      <c r="Z254" s="47" t="str">
        <f aca="false">IF(COUNT(U254:X254)=0,"",SUM(U254:X254))</f>
        <v/>
      </c>
      <c r="AA254" s="48" t="str">
        <f aca="false">IF(OR(Z254="",N(T254)=0),"",Z254/T254)</f>
        <v/>
      </c>
      <c r="AB254" s="45"/>
      <c r="AC254" s="51" t="str">
        <f aca="false">IF(A254="","",A254+N(C254)+ROW()/10^7)</f>
        <v/>
      </c>
      <c r="AD254" s="51" t="str">
        <f aca="false">IF(A254="","",TEXT(A254,"0")&amp;"|"&amp;COUNTIFS('Content Log'!$A$5:$A$504,A254,'Content Log'!$AC$5:$AC$504,"&lt;="&amp;AC254))</f>
        <v/>
      </c>
      <c r="AE254" s="51" t="str">
        <f aca="false">IF(A254="","",IFERROR(INDEX(Setup!$N$9:$N$14,MATCH(O254,Setup!$M$9:$M$14,0))&amp;" ","")&amp;IF(C254="","",TEXT(C254,"h:mm AM/PM")&amp;" ")&amp;D254&amp;IF(H254="",""," · "&amp;H254))</f>
        <v/>
      </c>
      <c r="AF254" s="51" t="str">
        <f aca="false">IF(OR(A254="",AA254=""),"",IF(AND(A254&gt;=Dashboard!$G$4,A254&lt;=Dashboard!$I$4),AA254+ROW()/10^9,""))</f>
        <v/>
      </c>
      <c r="AG254" s="51" t="str">
        <f aca="false">IF(A254="","",WEEKDAY(A254,2))</f>
        <v/>
      </c>
    </row>
    <row r="255" customFormat="false" ht="15" hidden="false" customHeight="false" outlineLevel="0" collapsed="false">
      <c r="A255" s="43"/>
      <c r="B255" s="11" t="str">
        <f aca="false">IF(A255="","",TEXT(A255,"ddd"))</f>
        <v/>
      </c>
      <c r="C255" s="44"/>
      <c r="D255" s="16"/>
      <c r="E255" s="16"/>
      <c r="F255" s="16"/>
      <c r="G255" s="16"/>
      <c r="H255" s="45"/>
      <c r="I255" s="45"/>
      <c r="J255" s="11" t="str">
        <f aca="false">IF(I255="","",LEN(I255))</f>
        <v/>
      </c>
      <c r="K255" s="16"/>
      <c r="L255" s="16"/>
      <c r="M255" s="11" t="str">
        <f aca="false">IF(L255="","",IFERROR(INDEX('Hashtag Bank'!$E$5:$E$104,MATCH(L255,'Hashtag Bank'!$B$5:$B$104,0)),""))</f>
        <v/>
      </c>
      <c r="N255" s="16"/>
      <c r="O255" s="16"/>
      <c r="P255" s="16"/>
      <c r="Q255" s="46" t="str">
        <f aca="true">IF(A255&amp;H255="","",TRIM(IF(AND(A255&lt;&gt;"",A255&lt;TODAY(),O255&lt;&gt;"Published",O255&lt;&gt;"Repurpose"),"⚠ Overdue ","")&amp;IF(AND(J255&lt;&gt;"",D255&lt;&gt;"",IFERROR(J255&gt;INDEX(Setup!$E$9:$E$18,MATCH(D255,Setup!$B$9:$B$18,0)),FALSE())),"✂ Caption too long ","")&amp;IF(AND(M255&lt;&gt;"",D255&lt;&gt;"",IFERROR(M255&gt;INDEX(Setup!$F$9:$F$18,MATCH(D255,Setup!$B$9:$B$18,0)),FALSE())),"# Too many tags","")))</f>
        <v/>
      </c>
      <c r="R255" s="16"/>
      <c r="S255" s="19"/>
      <c r="T255" s="19"/>
      <c r="U255" s="19"/>
      <c r="V255" s="19"/>
      <c r="W255" s="19"/>
      <c r="X255" s="19"/>
      <c r="Y255" s="19"/>
      <c r="Z255" s="47" t="str">
        <f aca="false">IF(COUNT(U255:X255)=0,"",SUM(U255:X255))</f>
        <v/>
      </c>
      <c r="AA255" s="48" t="str">
        <f aca="false">IF(OR(Z255="",N(T255)=0),"",Z255/T255)</f>
        <v/>
      </c>
      <c r="AB255" s="45"/>
      <c r="AC255" s="51" t="str">
        <f aca="false">IF(A255="","",A255+N(C255)+ROW()/10^7)</f>
        <v/>
      </c>
      <c r="AD255" s="51" t="str">
        <f aca="false">IF(A255="","",TEXT(A255,"0")&amp;"|"&amp;COUNTIFS('Content Log'!$A$5:$A$504,A255,'Content Log'!$AC$5:$AC$504,"&lt;="&amp;AC255))</f>
        <v/>
      </c>
      <c r="AE255" s="51" t="str">
        <f aca="false">IF(A255="","",IFERROR(INDEX(Setup!$N$9:$N$14,MATCH(O255,Setup!$M$9:$M$14,0))&amp;" ","")&amp;IF(C255="","",TEXT(C255,"h:mm AM/PM")&amp;" ")&amp;D255&amp;IF(H255="",""," · "&amp;H255))</f>
        <v/>
      </c>
      <c r="AF255" s="51" t="str">
        <f aca="false">IF(OR(A255="",AA255=""),"",IF(AND(A255&gt;=Dashboard!$G$4,A255&lt;=Dashboard!$I$4),AA255+ROW()/10^9,""))</f>
        <v/>
      </c>
      <c r="AG255" s="51" t="str">
        <f aca="false">IF(A255="","",WEEKDAY(A255,2))</f>
        <v/>
      </c>
    </row>
    <row r="256" customFormat="false" ht="15" hidden="false" customHeight="false" outlineLevel="0" collapsed="false">
      <c r="A256" s="43"/>
      <c r="B256" s="11" t="str">
        <f aca="false">IF(A256="","",TEXT(A256,"ddd"))</f>
        <v/>
      </c>
      <c r="C256" s="44"/>
      <c r="D256" s="16"/>
      <c r="E256" s="16"/>
      <c r="F256" s="16"/>
      <c r="G256" s="16"/>
      <c r="H256" s="45"/>
      <c r="I256" s="45"/>
      <c r="J256" s="11" t="str">
        <f aca="false">IF(I256="","",LEN(I256))</f>
        <v/>
      </c>
      <c r="K256" s="16"/>
      <c r="L256" s="16"/>
      <c r="M256" s="11" t="str">
        <f aca="false">IF(L256="","",IFERROR(INDEX('Hashtag Bank'!$E$5:$E$104,MATCH(L256,'Hashtag Bank'!$B$5:$B$104,0)),""))</f>
        <v/>
      </c>
      <c r="N256" s="16"/>
      <c r="O256" s="16"/>
      <c r="P256" s="16"/>
      <c r="Q256" s="46" t="str">
        <f aca="true">IF(A256&amp;H256="","",TRIM(IF(AND(A256&lt;&gt;"",A256&lt;TODAY(),O256&lt;&gt;"Published",O256&lt;&gt;"Repurpose"),"⚠ Overdue ","")&amp;IF(AND(J256&lt;&gt;"",D256&lt;&gt;"",IFERROR(J256&gt;INDEX(Setup!$E$9:$E$18,MATCH(D256,Setup!$B$9:$B$18,0)),FALSE())),"✂ Caption too long ","")&amp;IF(AND(M256&lt;&gt;"",D256&lt;&gt;"",IFERROR(M256&gt;INDEX(Setup!$F$9:$F$18,MATCH(D256,Setup!$B$9:$B$18,0)),FALSE())),"# Too many tags","")))</f>
        <v/>
      </c>
      <c r="R256" s="16"/>
      <c r="S256" s="19"/>
      <c r="T256" s="19"/>
      <c r="U256" s="19"/>
      <c r="V256" s="19"/>
      <c r="W256" s="19"/>
      <c r="X256" s="19"/>
      <c r="Y256" s="19"/>
      <c r="Z256" s="47" t="str">
        <f aca="false">IF(COUNT(U256:X256)=0,"",SUM(U256:X256))</f>
        <v/>
      </c>
      <c r="AA256" s="48" t="str">
        <f aca="false">IF(OR(Z256="",N(T256)=0),"",Z256/T256)</f>
        <v/>
      </c>
      <c r="AB256" s="45"/>
      <c r="AC256" s="51" t="str">
        <f aca="false">IF(A256="","",A256+N(C256)+ROW()/10^7)</f>
        <v/>
      </c>
      <c r="AD256" s="51" t="str">
        <f aca="false">IF(A256="","",TEXT(A256,"0")&amp;"|"&amp;COUNTIFS('Content Log'!$A$5:$A$504,A256,'Content Log'!$AC$5:$AC$504,"&lt;="&amp;AC256))</f>
        <v/>
      </c>
      <c r="AE256" s="51" t="str">
        <f aca="false">IF(A256="","",IFERROR(INDEX(Setup!$N$9:$N$14,MATCH(O256,Setup!$M$9:$M$14,0))&amp;" ","")&amp;IF(C256="","",TEXT(C256,"h:mm AM/PM")&amp;" ")&amp;D256&amp;IF(H256="",""," · "&amp;H256))</f>
        <v/>
      </c>
      <c r="AF256" s="51" t="str">
        <f aca="false">IF(OR(A256="",AA256=""),"",IF(AND(A256&gt;=Dashboard!$G$4,A256&lt;=Dashboard!$I$4),AA256+ROW()/10^9,""))</f>
        <v/>
      </c>
      <c r="AG256" s="51" t="str">
        <f aca="false">IF(A256="","",WEEKDAY(A256,2))</f>
        <v/>
      </c>
    </row>
    <row r="257" customFormat="false" ht="15" hidden="false" customHeight="false" outlineLevel="0" collapsed="false">
      <c r="A257" s="43"/>
      <c r="B257" s="11" t="str">
        <f aca="false">IF(A257="","",TEXT(A257,"ddd"))</f>
        <v/>
      </c>
      <c r="C257" s="44"/>
      <c r="D257" s="16"/>
      <c r="E257" s="16"/>
      <c r="F257" s="16"/>
      <c r="G257" s="16"/>
      <c r="H257" s="45"/>
      <c r="I257" s="45"/>
      <c r="J257" s="11" t="str">
        <f aca="false">IF(I257="","",LEN(I257))</f>
        <v/>
      </c>
      <c r="K257" s="16"/>
      <c r="L257" s="16"/>
      <c r="M257" s="11" t="str">
        <f aca="false">IF(L257="","",IFERROR(INDEX('Hashtag Bank'!$E$5:$E$104,MATCH(L257,'Hashtag Bank'!$B$5:$B$104,0)),""))</f>
        <v/>
      </c>
      <c r="N257" s="16"/>
      <c r="O257" s="16"/>
      <c r="P257" s="16"/>
      <c r="Q257" s="46" t="str">
        <f aca="true">IF(A257&amp;H257="","",TRIM(IF(AND(A257&lt;&gt;"",A257&lt;TODAY(),O257&lt;&gt;"Published",O257&lt;&gt;"Repurpose"),"⚠ Overdue ","")&amp;IF(AND(J257&lt;&gt;"",D257&lt;&gt;"",IFERROR(J257&gt;INDEX(Setup!$E$9:$E$18,MATCH(D257,Setup!$B$9:$B$18,0)),FALSE())),"✂ Caption too long ","")&amp;IF(AND(M257&lt;&gt;"",D257&lt;&gt;"",IFERROR(M257&gt;INDEX(Setup!$F$9:$F$18,MATCH(D257,Setup!$B$9:$B$18,0)),FALSE())),"# Too many tags","")))</f>
        <v/>
      </c>
      <c r="R257" s="16"/>
      <c r="S257" s="19"/>
      <c r="T257" s="19"/>
      <c r="U257" s="19"/>
      <c r="V257" s="19"/>
      <c r="W257" s="19"/>
      <c r="X257" s="19"/>
      <c r="Y257" s="19"/>
      <c r="Z257" s="47" t="str">
        <f aca="false">IF(COUNT(U257:X257)=0,"",SUM(U257:X257))</f>
        <v/>
      </c>
      <c r="AA257" s="48" t="str">
        <f aca="false">IF(OR(Z257="",N(T257)=0),"",Z257/T257)</f>
        <v/>
      </c>
      <c r="AB257" s="45"/>
      <c r="AC257" s="51" t="str">
        <f aca="false">IF(A257="","",A257+N(C257)+ROW()/10^7)</f>
        <v/>
      </c>
      <c r="AD257" s="51" t="str">
        <f aca="false">IF(A257="","",TEXT(A257,"0")&amp;"|"&amp;COUNTIFS('Content Log'!$A$5:$A$504,A257,'Content Log'!$AC$5:$AC$504,"&lt;="&amp;AC257))</f>
        <v/>
      </c>
      <c r="AE257" s="51" t="str">
        <f aca="false">IF(A257="","",IFERROR(INDEX(Setup!$N$9:$N$14,MATCH(O257,Setup!$M$9:$M$14,0))&amp;" ","")&amp;IF(C257="","",TEXT(C257,"h:mm AM/PM")&amp;" ")&amp;D257&amp;IF(H257="",""," · "&amp;H257))</f>
        <v/>
      </c>
      <c r="AF257" s="51" t="str">
        <f aca="false">IF(OR(A257="",AA257=""),"",IF(AND(A257&gt;=Dashboard!$G$4,A257&lt;=Dashboard!$I$4),AA257+ROW()/10^9,""))</f>
        <v/>
      </c>
      <c r="AG257" s="51" t="str">
        <f aca="false">IF(A257="","",WEEKDAY(A257,2))</f>
        <v/>
      </c>
    </row>
    <row r="258" customFormat="false" ht="15" hidden="false" customHeight="false" outlineLevel="0" collapsed="false">
      <c r="A258" s="43"/>
      <c r="B258" s="11" t="str">
        <f aca="false">IF(A258="","",TEXT(A258,"ddd"))</f>
        <v/>
      </c>
      <c r="C258" s="44"/>
      <c r="D258" s="16"/>
      <c r="E258" s="16"/>
      <c r="F258" s="16"/>
      <c r="G258" s="16"/>
      <c r="H258" s="45"/>
      <c r="I258" s="45"/>
      <c r="J258" s="11" t="str">
        <f aca="false">IF(I258="","",LEN(I258))</f>
        <v/>
      </c>
      <c r="K258" s="16"/>
      <c r="L258" s="16"/>
      <c r="M258" s="11" t="str">
        <f aca="false">IF(L258="","",IFERROR(INDEX('Hashtag Bank'!$E$5:$E$104,MATCH(L258,'Hashtag Bank'!$B$5:$B$104,0)),""))</f>
        <v/>
      </c>
      <c r="N258" s="16"/>
      <c r="O258" s="16"/>
      <c r="P258" s="16"/>
      <c r="Q258" s="46" t="str">
        <f aca="true">IF(A258&amp;H258="","",TRIM(IF(AND(A258&lt;&gt;"",A258&lt;TODAY(),O258&lt;&gt;"Published",O258&lt;&gt;"Repurpose"),"⚠ Overdue ","")&amp;IF(AND(J258&lt;&gt;"",D258&lt;&gt;"",IFERROR(J258&gt;INDEX(Setup!$E$9:$E$18,MATCH(D258,Setup!$B$9:$B$18,0)),FALSE())),"✂ Caption too long ","")&amp;IF(AND(M258&lt;&gt;"",D258&lt;&gt;"",IFERROR(M258&gt;INDEX(Setup!$F$9:$F$18,MATCH(D258,Setup!$B$9:$B$18,0)),FALSE())),"# Too many tags","")))</f>
        <v/>
      </c>
      <c r="R258" s="16"/>
      <c r="S258" s="19"/>
      <c r="T258" s="19"/>
      <c r="U258" s="19"/>
      <c r="V258" s="19"/>
      <c r="W258" s="19"/>
      <c r="X258" s="19"/>
      <c r="Y258" s="19"/>
      <c r="Z258" s="47" t="str">
        <f aca="false">IF(COUNT(U258:X258)=0,"",SUM(U258:X258))</f>
        <v/>
      </c>
      <c r="AA258" s="48" t="str">
        <f aca="false">IF(OR(Z258="",N(T258)=0),"",Z258/T258)</f>
        <v/>
      </c>
      <c r="AB258" s="45"/>
      <c r="AC258" s="51" t="str">
        <f aca="false">IF(A258="","",A258+N(C258)+ROW()/10^7)</f>
        <v/>
      </c>
      <c r="AD258" s="51" t="str">
        <f aca="false">IF(A258="","",TEXT(A258,"0")&amp;"|"&amp;COUNTIFS('Content Log'!$A$5:$A$504,A258,'Content Log'!$AC$5:$AC$504,"&lt;="&amp;AC258))</f>
        <v/>
      </c>
      <c r="AE258" s="51" t="str">
        <f aca="false">IF(A258="","",IFERROR(INDEX(Setup!$N$9:$N$14,MATCH(O258,Setup!$M$9:$M$14,0))&amp;" ","")&amp;IF(C258="","",TEXT(C258,"h:mm AM/PM")&amp;" ")&amp;D258&amp;IF(H258="",""," · "&amp;H258))</f>
        <v/>
      </c>
      <c r="AF258" s="51" t="str">
        <f aca="false">IF(OR(A258="",AA258=""),"",IF(AND(A258&gt;=Dashboard!$G$4,A258&lt;=Dashboard!$I$4),AA258+ROW()/10^9,""))</f>
        <v/>
      </c>
      <c r="AG258" s="51" t="str">
        <f aca="false">IF(A258="","",WEEKDAY(A258,2))</f>
        <v/>
      </c>
    </row>
    <row r="259" customFormat="false" ht="15" hidden="false" customHeight="false" outlineLevel="0" collapsed="false">
      <c r="A259" s="43"/>
      <c r="B259" s="11" t="str">
        <f aca="false">IF(A259="","",TEXT(A259,"ddd"))</f>
        <v/>
      </c>
      <c r="C259" s="44"/>
      <c r="D259" s="16"/>
      <c r="E259" s="16"/>
      <c r="F259" s="16"/>
      <c r="G259" s="16"/>
      <c r="H259" s="45"/>
      <c r="I259" s="45"/>
      <c r="J259" s="11" t="str">
        <f aca="false">IF(I259="","",LEN(I259))</f>
        <v/>
      </c>
      <c r="K259" s="16"/>
      <c r="L259" s="16"/>
      <c r="M259" s="11" t="str">
        <f aca="false">IF(L259="","",IFERROR(INDEX('Hashtag Bank'!$E$5:$E$104,MATCH(L259,'Hashtag Bank'!$B$5:$B$104,0)),""))</f>
        <v/>
      </c>
      <c r="N259" s="16"/>
      <c r="O259" s="16"/>
      <c r="P259" s="16"/>
      <c r="Q259" s="46" t="str">
        <f aca="true">IF(A259&amp;H259="","",TRIM(IF(AND(A259&lt;&gt;"",A259&lt;TODAY(),O259&lt;&gt;"Published",O259&lt;&gt;"Repurpose"),"⚠ Overdue ","")&amp;IF(AND(J259&lt;&gt;"",D259&lt;&gt;"",IFERROR(J259&gt;INDEX(Setup!$E$9:$E$18,MATCH(D259,Setup!$B$9:$B$18,0)),FALSE())),"✂ Caption too long ","")&amp;IF(AND(M259&lt;&gt;"",D259&lt;&gt;"",IFERROR(M259&gt;INDEX(Setup!$F$9:$F$18,MATCH(D259,Setup!$B$9:$B$18,0)),FALSE())),"# Too many tags","")))</f>
        <v/>
      </c>
      <c r="R259" s="16"/>
      <c r="S259" s="19"/>
      <c r="T259" s="19"/>
      <c r="U259" s="19"/>
      <c r="V259" s="19"/>
      <c r="W259" s="19"/>
      <c r="X259" s="19"/>
      <c r="Y259" s="19"/>
      <c r="Z259" s="47" t="str">
        <f aca="false">IF(COUNT(U259:X259)=0,"",SUM(U259:X259))</f>
        <v/>
      </c>
      <c r="AA259" s="48" t="str">
        <f aca="false">IF(OR(Z259="",N(T259)=0),"",Z259/T259)</f>
        <v/>
      </c>
      <c r="AB259" s="45"/>
      <c r="AC259" s="51" t="str">
        <f aca="false">IF(A259="","",A259+N(C259)+ROW()/10^7)</f>
        <v/>
      </c>
      <c r="AD259" s="51" t="str">
        <f aca="false">IF(A259="","",TEXT(A259,"0")&amp;"|"&amp;COUNTIFS('Content Log'!$A$5:$A$504,A259,'Content Log'!$AC$5:$AC$504,"&lt;="&amp;AC259))</f>
        <v/>
      </c>
      <c r="AE259" s="51" t="str">
        <f aca="false">IF(A259="","",IFERROR(INDEX(Setup!$N$9:$N$14,MATCH(O259,Setup!$M$9:$M$14,0))&amp;" ","")&amp;IF(C259="","",TEXT(C259,"h:mm AM/PM")&amp;" ")&amp;D259&amp;IF(H259="",""," · "&amp;H259))</f>
        <v/>
      </c>
      <c r="AF259" s="51" t="str">
        <f aca="false">IF(OR(A259="",AA259=""),"",IF(AND(A259&gt;=Dashboard!$G$4,A259&lt;=Dashboard!$I$4),AA259+ROW()/10^9,""))</f>
        <v/>
      </c>
      <c r="AG259" s="51" t="str">
        <f aca="false">IF(A259="","",WEEKDAY(A259,2))</f>
        <v/>
      </c>
    </row>
    <row r="260" customFormat="false" ht="15" hidden="false" customHeight="false" outlineLevel="0" collapsed="false">
      <c r="A260" s="43"/>
      <c r="B260" s="11" t="str">
        <f aca="false">IF(A260="","",TEXT(A260,"ddd"))</f>
        <v/>
      </c>
      <c r="C260" s="44"/>
      <c r="D260" s="16"/>
      <c r="E260" s="16"/>
      <c r="F260" s="16"/>
      <c r="G260" s="16"/>
      <c r="H260" s="45"/>
      <c r="I260" s="45"/>
      <c r="J260" s="11" t="str">
        <f aca="false">IF(I260="","",LEN(I260))</f>
        <v/>
      </c>
      <c r="K260" s="16"/>
      <c r="L260" s="16"/>
      <c r="M260" s="11" t="str">
        <f aca="false">IF(L260="","",IFERROR(INDEX('Hashtag Bank'!$E$5:$E$104,MATCH(L260,'Hashtag Bank'!$B$5:$B$104,0)),""))</f>
        <v/>
      </c>
      <c r="N260" s="16"/>
      <c r="O260" s="16"/>
      <c r="P260" s="16"/>
      <c r="Q260" s="46" t="str">
        <f aca="true">IF(A260&amp;H260="","",TRIM(IF(AND(A260&lt;&gt;"",A260&lt;TODAY(),O260&lt;&gt;"Published",O260&lt;&gt;"Repurpose"),"⚠ Overdue ","")&amp;IF(AND(J260&lt;&gt;"",D260&lt;&gt;"",IFERROR(J260&gt;INDEX(Setup!$E$9:$E$18,MATCH(D260,Setup!$B$9:$B$18,0)),FALSE())),"✂ Caption too long ","")&amp;IF(AND(M260&lt;&gt;"",D260&lt;&gt;"",IFERROR(M260&gt;INDEX(Setup!$F$9:$F$18,MATCH(D260,Setup!$B$9:$B$18,0)),FALSE())),"# Too many tags","")))</f>
        <v/>
      </c>
      <c r="R260" s="16"/>
      <c r="S260" s="19"/>
      <c r="T260" s="19"/>
      <c r="U260" s="19"/>
      <c r="V260" s="19"/>
      <c r="W260" s="19"/>
      <c r="X260" s="19"/>
      <c r="Y260" s="19"/>
      <c r="Z260" s="47" t="str">
        <f aca="false">IF(COUNT(U260:X260)=0,"",SUM(U260:X260))</f>
        <v/>
      </c>
      <c r="AA260" s="48" t="str">
        <f aca="false">IF(OR(Z260="",N(T260)=0),"",Z260/T260)</f>
        <v/>
      </c>
      <c r="AB260" s="45"/>
      <c r="AC260" s="51" t="str">
        <f aca="false">IF(A260="","",A260+N(C260)+ROW()/10^7)</f>
        <v/>
      </c>
      <c r="AD260" s="51" t="str">
        <f aca="false">IF(A260="","",TEXT(A260,"0")&amp;"|"&amp;COUNTIFS('Content Log'!$A$5:$A$504,A260,'Content Log'!$AC$5:$AC$504,"&lt;="&amp;AC260))</f>
        <v/>
      </c>
      <c r="AE260" s="51" t="str">
        <f aca="false">IF(A260="","",IFERROR(INDEX(Setup!$N$9:$N$14,MATCH(O260,Setup!$M$9:$M$14,0))&amp;" ","")&amp;IF(C260="","",TEXT(C260,"h:mm AM/PM")&amp;" ")&amp;D260&amp;IF(H260="",""," · "&amp;H260))</f>
        <v/>
      </c>
      <c r="AF260" s="51" t="str">
        <f aca="false">IF(OR(A260="",AA260=""),"",IF(AND(A260&gt;=Dashboard!$G$4,A260&lt;=Dashboard!$I$4),AA260+ROW()/10^9,""))</f>
        <v/>
      </c>
      <c r="AG260" s="51" t="str">
        <f aca="false">IF(A260="","",WEEKDAY(A260,2))</f>
        <v/>
      </c>
    </row>
    <row r="261" customFormat="false" ht="15" hidden="false" customHeight="false" outlineLevel="0" collapsed="false">
      <c r="A261" s="43"/>
      <c r="B261" s="11" t="str">
        <f aca="false">IF(A261="","",TEXT(A261,"ddd"))</f>
        <v/>
      </c>
      <c r="C261" s="44"/>
      <c r="D261" s="16"/>
      <c r="E261" s="16"/>
      <c r="F261" s="16"/>
      <c r="G261" s="16"/>
      <c r="H261" s="45"/>
      <c r="I261" s="45"/>
      <c r="J261" s="11" t="str">
        <f aca="false">IF(I261="","",LEN(I261))</f>
        <v/>
      </c>
      <c r="K261" s="16"/>
      <c r="L261" s="16"/>
      <c r="M261" s="11" t="str">
        <f aca="false">IF(L261="","",IFERROR(INDEX('Hashtag Bank'!$E$5:$E$104,MATCH(L261,'Hashtag Bank'!$B$5:$B$104,0)),""))</f>
        <v/>
      </c>
      <c r="N261" s="16"/>
      <c r="O261" s="16"/>
      <c r="P261" s="16"/>
      <c r="Q261" s="46" t="str">
        <f aca="true">IF(A261&amp;H261="","",TRIM(IF(AND(A261&lt;&gt;"",A261&lt;TODAY(),O261&lt;&gt;"Published",O261&lt;&gt;"Repurpose"),"⚠ Overdue ","")&amp;IF(AND(J261&lt;&gt;"",D261&lt;&gt;"",IFERROR(J261&gt;INDEX(Setup!$E$9:$E$18,MATCH(D261,Setup!$B$9:$B$18,0)),FALSE())),"✂ Caption too long ","")&amp;IF(AND(M261&lt;&gt;"",D261&lt;&gt;"",IFERROR(M261&gt;INDEX(Setup!$F$9:$F$18,MATCH(D261,Setup!$B$9:$B$18,0)),FALSE())),"# Too many tags","")))</f>
        <v/>
      </c>
      <c r="R261" s="16"/>
      <c r="S261" s="19"/>
      <c r="T261" s="19"/>
      <c r="U261" s="19"/>
      <c r="V261" s="19"/>
      <c r="W261" s="19"/>
      <c r="X261" s="19"/>
      <c r="Y261" s="19"/>
      <c r="Z261" s="47" t="str">
        <f aca="false">IF(COUNT(U261:X261)=0,"",SUM(U261:X261))</f>
        <v/>
      </c>
      <c r="AA261" s="48" t="str">
        <f aca="false">IF(OR(Z261="",N(T261)=0),"",Z261/T261)</f>
        <v/>
      </c>
      <c r="AB261" s="45"/>
      <c r="AC261" s="51" t="str">
        <f aca="false">IF(A261="","",A261+N(C261)+ROW()/10^7)</f>
        <v/>
      </c>
      <c r="AD261" s="51" t="str">
        <f aca="false">IF(A261="","",TEXT(A261,"0")&amp;"|"&amp;COUNTIFS('Content Log'!$A$5:$A$504,A261,'Content Log'!$AC$5:$AC$504,"&lt;="&amp;AC261))</f>
        <v/>
      </c>
      <c r="AE261" s="51" t="str">
        <f aca="false">IF(A261="","",IFERROR(INDEX(Setup!$N$9:$N$14,MATCH(O261,Setup!$M$9:$M$14,0))&amp;" ","")&amp;IF(C261="","",TEXT(C261,"h:mm AM/PM")&amp;" ")&amp;D261&amp;IF(H261="",""," · "&amp;H261))</f>
        <v/>
      </c>
      <c r="AF261" s="51" t="str">
        <f aca="false">IF(OR(A261="",AA261=""),"",IF(AND(A261&gt;=Dashboard!$G$4,A261&lt;=Dashboard!$I$4),AA261+ROW()/10^9,""))</f>
        <v/>
      </c>
      <c r="AG261" s="51" t="str">
        <f aca="false">IF(A261="","",WEEKDAY(A261,2))</f>
        <v/>
      </c>
    </row>
    <row r="262" customFormat="false" ht="15" hidden="false" customHeight="false" outlineLevel="0" collapsed="false">
      <c r="A262" s="43"/>
      <c r="B262" s="11" t="str">
        <f aca="false">IF(A262="","",TEXT(A262,"ddd"))</f>
        <v/>
      </c>
      <c r="C262" s="44"/>
      <c r="D262" s="16"/>
      <c r="E262" s="16"/>
      <c r="F262" s="16"/>
      <c r="G262" s="16"/>
      <c r="H262" s="45"/>
      <c r="I262" s="45"/>
      <c r="J262" s="11" t="str">
        <f aca="false">IF(I262="","",LEN(I262))</f>
        <v/>
      </c>
      <c r="K262" s="16"/>
      <c r="L262" s="16"/>
      <c r="M262" s="11" t="str">
        <f aca="false">IF(L262="","",IFERROR(INDEX('Hashtag Bank'!$E$5:$E$104,MATCH(L262,'Hashtag Bank'!$B$5:$B$104,0)),""))</f>
        <v/>
      </c>
      <c r="N262" s="16"/>
      <c r="O262" s="16"/>
      <c r="P262" s="16"/>
      <c r="Q262" s="46" t="str">
        <f aca="true">IF(A262&amp;H262="","",TRIM(IF(AND(A262&lt;&gt;"",A262&lt;TODAY(),O262&lt;&gt;"Published",O262&lt;&gt;"Repurpose"),"⚠ Overdue ","")&amp;IF(AND(J262&lt;&gt;"",D262&lt;&gt;"",IFERROR(J262&gt;INDEX(Setup!$E$9:$E$18,MATCH(D262,Setup!$B$9:$B$18,0)),FALSE())),"✂ Caption too long ","")&amp;IF(AND(M262&lt;&gt;"",D262&lt;&gt;"",IFERROR(M262&gt;INDEX(Setup!$F$9:$F$18,MATCH(D262,Setup!$B$9:$B$18,0)),FALSE())),"# Too many tags","")))</f>
        <v/>
      </c>
      <c r="R262" s="16"/>
      <c r="S262" s="19"/>
      <c r="T262" s="19"/>
      <c r="U262" s="19"/>
      <c r="V262" s="19"/>
      <c r="W262" s="19"/>
      <c r="X262" s="19"/>
      <c r="Y262" s="19"/>
      <c r="Z262" s="47" t="str">
        <f aca="false">IF(COUNT(U262:X262)=0,"",SUM(U262:X262))</f>
        <v/>
      </c>
      <c r="AA262" s="48" t="str">
        <f aca="false">IF(OR(Z262="",N(T262)=0),"",Z262/T262)</f>
        <v/>
      </c>
      <c r="AB262" s="45"/>
      <c r="AC262" s="51" t="str">
        <f aca="false">IF(A262="","",A262+N(C262)+ROW()/10^7)</f>
        <v/>
      </c>
      <c r="AD262" s="51" t="str">
        <f aca="false">IF(A262="","",TEXT(A262,"0")&amp;"|"&amp;COUNTIFS('Content Log'!$A$5:$A$504,A262,'Content Log'!$AC$5:$AC$504,"&lt;="&amp;AC262))</f>
        <v/>
      </c>
      <c r="AE262" s="51" t="str">
        <f aca="false">IF(A262="","",IFERROR(INDEX(Setup!$N$9:$N$14,MATCH(O262,Setup!$M$9:$M$14,0))&amp;" ","")&amp;IF(C262="","",TEXT(C262,"h:mm AM/PM")&amp;" ")&amp;D262&amp;IF(H262="",""," · "&amp;H262))</f>
        <v/>
      </c>
      <c r="AF262" s="51" t="str">
        <f aca="false">IF(OR(A262="",AA262=""),"",IF(AND(A262&gt;=Dashboard!$G$4,A262&lt;=Dashboard!$I$4),AA262+ROW()/10^9,""))</f>
        <v/>
      </c>
      <c r="AG262" s="51" t="str">
        <f aca="false">IF(A262="","",WEEKDAY(A262,2))</f>
        <v/>
      </c>
    </row>
    <row r="263" customFormat="false" ht="15" hidden="false" customHeight="false" outlineLevel="0" collapsed="false">
      <c r="A263" s="43"/>
      <c r="B263" s="11" t="str">
        <f aca="false">IF(A263="","",TEXT(A263,"ddd"))</f>
        <v/>
      </c>
      <c r="C263" s="44"/>
      <c r="D263" s="16"/>
      <c r="E263" s="16"/>
      <c r="F263" s="16"/>
      <c r="G263" s="16"/>
      <c r="H263" s="45"/>
      <c r="I263" s="45"/>
      <c r="J263" s="11" t="str">
        <f aca="false">IF(I263="","",LEN(I263))</f>
        <v/>
      </c>
      <c r="K263" s="16"/>
      <c r="L263" s="16"/>
      <c r="M263" s="11" t="str">
        <f aca="false">IF(L263="","",IFERROR(INDEX('Hashtag Bank'!$E$5:$E$104,MATCH(L263,'Hashtag Bank'!$B$5:$B$104,0)),""))</f>
        <v/>
      </c>
      <c r="N263" s="16"/>
      <c r="O263" s="16"/>
      <c r="P263" s="16"/>
      <c r="Q263" s="46" t="str">
        <f aca="true">IF(A263&amp;H263="","",TRIM(IF(AND(A263&lt;&gt;"",A263&lt;TODAY(),O263&lt;&gt;"Published",O263&lt;&gt;"Repurpose"),"⚠ Overdue ","")&amp;IF(AND(J263&lt;&gt;"",D263&lt;&gt;"",IFERROR(J263&gt;INDEX(Setup!$E$9:$E$18,MATCH(D263,Setup!$B$9:$B$18,0)),FALSE())),"✂ Caption too long ","")&amp;IF(AND(M263&lt;&gt;"",D263&lt;&gt;"",IFERROR(M263&gt;INDEX(Setup!$F$9:$F$18,MATCH(D263,Setup!$B$9:$B$18,0)),FALSE())),"# Too many tags","")))</f>
        <v/>
      </c>
      <c r="R263" s="16"/>
      <c r="S263" s="19"/>
      <c r="T263" s="19"/>
      <c r="U263" s="19"/>
      <c r="V263" s="19"/>
      <c r="W263" s="19"/>
      <c r="X263" s="19"/>
      <c r="Y263" s="19"/>
      <c r="Z263" s="47" t="str">
        <f aca="false">IF(COUNT(U263:X263)=0,"",SUM(U263:X263))</f>
        <v/>
      </c>
      <c r="AA263" s="48" t="str">
        <f aca="false">IF(OR(Z263="",N(T263)=0),"",Z263/T263)</f>
        <v/>
      </c>
      <c r="AB263" s="45"/>
      <c r="AC263" s="51" t="str">
        <f aca="false">IF(A263="","",A263+N(C263)+ROW()/10^7)</f>
        <v/>
      </c>
      <c r="AD263" s="51" t="str">
        <f aca="false">IF(A263="","",TEXT(A263,"0")&amp;"|"&amp;COUNTIFS('Content Log'!$A$5:$A$504,A263,'Content Log'!$AC$5:$AC$504,"&lt;="&amp;AC263))</f>
        <v/>
      </c>
      <c r="AE263" s="51" t="str">
        <f aca="false">IF(A263="","",IFERROR(INDEX(Setup!$N$9:$N$14,MATCH(O263,Setup!$M$9:$M$14,0))&amp;" ","")&amp;IF(C263="","",TEXT(C263,"h:mm AM/PM")&amp;" ")&amp;D263&amp;IF(H263="",""," · "&amp;H263))</f>
        <v/>
      </c>
      <c r="AF263" s="51" t="str">
        <f aca="false">IF(OR(A263="",AA263=""),"",IF(AND(A263&gt;=Dashboard!$G$4,A263&lt;=Dashboard!$I$4),AA263+ROW()/10^9,""))</f>
        <v/>
      </c>
      <c r="AG263" s="51" t="str">
        <f aca="false">IF(A263="","",WEEKDAY(A263,2))</f>
        <v/>
      </c>
    </row>
    <row r="264" customFormat="false" ht="15" hidden="false" customHeight="false" outlineLevel="0" collapsed="false">
      <c r="A264" s="43"/>
      <c r="B264" s="11" t="str">
        <f aca="false">IF(A264="","",TEXT(A264,"ddd"))</f>
        <v/>
      </c>
      <c r="C264" s="44"/>
      <c r="D264" s="16"/>
      <c r="E264" s="16"/>
      <c r="F264" s="16"/>
      <c r="G264" s="16"/>
      <c r="H264" s="45"/>
      <c r="I264" s="45"/>
      <c r="J264" s="11" t="str">
        <f aca="false">IF(I264="","",LEN(I264))</f>
        <v/>
      </c>
      <c r="K264" s="16"/>
      <c r="L264" s="16"/>
      <c r="M264" s="11" t="str">
        <f aca="false">IF(L264="","",IFERROR(INDEX('Hashtag Bank'!$E$5:$E$104,MATCH(L264,'Hashtag Bank'!$B$5:$B$104,0)),""))</f>
        <v/>
      </c>
      <c r="N264" s="16"/>
      <c r="O264" s="16"/>
      <c r="P264" s="16"/>
      <c r="Q264" s="46" t="str">
        <f aca="true">IF(A264&amp;H264="","",TRIM(IF(AND(A264&lt;&gt;"",A264&lt;TODAY(),O264&lt;&gt;"Published",O264&lt;&gt;"Repurpose"),"⚠ Overdue ","")&amp;IF(AND(J264&lt;&gt;"",D264&lt;&gt;"",IFERROR(J264&gt;INDEX(Setup!$E$9:$E$18,MATCH(D264,Setup!$B$9:$B$18,0)),FALSE())),"✂ Caption too long ","")&amp;IF(AND(M264&lt;&gt;"",D264&lt;&gt;"",IFERROR(M264&gt;INDEX(Setup!$F$9:$F$18,MATCH(D264,Setup!$B$9:$B$18,0)),FALSE())),"# Too many tags","")))</f>
        <v/>
      </c>
      <c r="R264" s="16"/>
      <c r="S264" s="19"/>
      <c r="T264" s="19"/>
      <c r="U264" s="19"/>
      <c r="V264" s="19"/>
      <c r="W264" s="19"/>
      <c r="X264" s="19"/>
      <c r="Y264" s="19"/>
      <c r="Z264" s="47" t="str">
        <f aca="false">IF(COUNT(U264:X264)=0,"",SUM(U264:X264))</f>
        <v/>
      </c>
      <c r="AA264" s="48" t="str">
        <f aca="false">IF(OR(Z264="",N(T264)=0),"",Z264/T264)</f>
        <v/>
      </c>
      <c r="AB264" s="45"/>
      <c r="AC264" s="51" t="str">
        <f aca="false">IF(A264="","",A264+N(C264)+ROW()/10^7)</f>
        <v/>
      </c>
      <c r="AD264" s="51" t="str">
        <f aca="false">IF(A264="","",TEXT(A264,"0")&amp;"|"&amp;COUNTIFS('Content Log'!$A$5:$A$504,A264,'Content Log'!$AC$5:$AC$504,"&lt;="&amp;AC264))</f>
        <v/>
      </c>
      <c r="AE264" s="51" t="str">
        <f aca="false">IF(A264="","",IFERROR(INDEX(Setup!$N$9:$N$14,MATCH(O264,Setup!$M$9:$M$14,0))&amp;" ","")&amp;IF(C264="","",TEXT(C264,"h:mm AM/PM")&amp;" ")&amp;D264&amp;IF(H264="",""," · "&amp;H264))</f>
        <v/>
      </c>
      <c r="AF264" s="51" t="str">
        <f aca="false">IF(OR(A264="",AA264=""),"",IF(AND(A264&gt;=Dashboard!$G$4,A264&lt;=Dashboard!$I$4),AA264+ROW()/10^9,""))</f>
        <v/>
      </c>
      <c r="AG264" s="51" t="str">
        <f aca="false">IF(A264="","",WEEKDAY(A264,2))</f>
        <v/>
      </c>
    </row>
    <row r="265" customFormat="false" ht="15" hidden="false" customHeight="false" outlineLevel="0" collapsed="false">
      <c r="A265" s="43"/>
      <c r="B265" s="11" t="str">
        <f aca="false">IF(A265="","",TEXT(A265,"ddd"))</f>
        <v/>
      </c>
      <c r="C265" s="44"/>
      <c r="D265" s="16"/>
      <c r="E265" s="16"/>
      <c r="F265" s="16"/>
      <c r="G265" s="16"/>
      <c r="H265" s="45"/>
      <c r="I265" s="45"/>
      <c r="J265" s="11" t="str">
        <f aca="false">IF(I265="","",LEN(I265))</f>
        <v/>
      </c>
      <c r="K265" s="16"/>
      <c r="L265" s="16"/>
      <c r="M265" s="11" t="str">
        <f aca="false">IF(L265="","",IFERROR(INDEX('Hashtag Bank'!$E$5:$E$104,MATCH(L265,'Hashtag Bank'!$B$5:$B$104,0)),""))</f>
        <v/>
      </c>
      <c r="N265" s="16"/>
      <c r="O265" s="16"/>
      <c r="P265" s="16"/>
      <c r="Q265" s="46" t="str">
        <f aca="true">IF(A265&amp;H265="","",TRIM(IF(AND(A265&lt;&gt;"",A265&lt;TODAY(),O265&lt;&gt;"Published",O265&lt;&gt;"Repurpose"),"⚠ Overdue ","")&amp;IF(AND(J265&lt;&gt;"",D265&lt;&gt;"",IFERROR(J265&gt;INDEX(Setup!$E$9:$E$18,MATCH(D265,Setup!$B$9:$B$18,0)),FALSE())),"✂ Caption too long ","")&amp;IF(AND(M265&lt;&gt;"",D265&lt;&gt;"",IFERROR(M265&gt;INDEX(Setup!$F$9:$F$18,MATCH(D265,Setup!$B$9:$B$18,0)),FALSE())),"# Too many tags","")))</f>
        <v/>
      </c>
      <c r="R265" s="16"/>
      <c r="S265" s="19"/>
      <c r="T265" s="19"/>
      <c r="U265" s="19"/>
      <c r="V265" s="19"/>
      <c r="W265" s="19"/>
      <c r="X265" s="19"/>
      <c r="Y265" s="19"/>
      <c r="Z265" s="47" t="str">
        <f aca="false">IF(COUNT(U265:X265)=0,"",SUM(U265:X265))</f>
        <v/>
      </c>
      <c r="AA265" s="48" t="str">
        <f aca="false">IF(OR(Z265="",N(T265)=0),"",Z265/T265)</f>
        <v/>
      </c>
      <c r="AB265" s="45"/>
      <c r="AC265" s="51" t="str">
        <f aca="false">IF(A265="","",A265+N(C265)+ROW()/10^7)</f>
        <v/>
      </c>
      <c r="AD265" s="51" t="str">
        <f aca="false">IF(A265="","",TEXT(A265,"0")&amp;"|"&amp;COUNTIFS('Content Log'!$A$5:$A$504,A265,'Content Log'!$AC$5:$AC$504,"&lt;="&amp;AC265))</f>
        <v/>
      </c>
      <c r="AE265" s="51" t="str">
        <f aca="false">IF(A265="","",IFERROR(INDEX(Setup!$N$9:$N$14,MATCH(O265,Setup!$M$9:$M$14,0))&amp;" ","")&amp;IF(C265="","",TEXT(C265,"h:mm AM/PM")&amp;" ")&amp;D265&amp;IF(H265="",""," · "&amp;H265))</f>
        <v/>
      </c>
      <c r="AF265" s="51" t="str">
        <f aca="false">IF(OR(A265="",AA265=""),"",IF(AND(A265&gt;=Dashboard!$G$4,A265&lt;=Dashboard!$I$4),AA265+ROW()/10^9,""))</f>
        <v/>
      </c>
      <c r="AG265" s="51" t="str">
        <f aca="false">IF(A265="","",WEEKDAY(A265,2))</f>
        <v/>
      </c>
    </row>
    <row r="266" customFormat="false" ht="15" hidden="false" customHeight="false" outlineLevel="0" collapsed="false">
      <c r="A266" s="43"/>
      <c r="B266" s="11" t="str">
        <f aca="false">IF(A266="","",TEXT(A266,"ddd"))</f>
        <v/>
      </c>
      <c r="C266" s="44"/>
      <c r="D266" s="16"/>
      <c r="E266" s="16"/>
      <c r="F266" s="16"/>
      <c r="G266" s="16"/>
      <c r="H266" s="45"/>
      <c r="I266" s="45"/>
      <c r="J266" s="11" t="str">
        <f aca="false">IF(I266="","",LEN(I266))</f>
        <v/>
      </c>
      <c r="K266" s="16"/>
      <c r="L266" s="16"/>
      <c r="M266" s="11" t="str">
        <f aca="false">IF(L266="","",IFERROR(INDEX('Hashtag Bank'!$E$5:$E$104,MATCH(L266,'Hashtag Bank'!$B$5:$B$104,0)),""))</f>
        <v/>
      </c>
      <c r="N266" s="16"/>
      <c r="O266" s="16"/>
      <c r="P266" s="16"/>
      <c r="Q266" s="46" t="str">
        <f aca="true">IF(A266&amp;H266="","",TRIM(IF(AND(A266&lt;&gt;"",A266&lt;TODAY(),O266&lt;&gt;"Published",O266&lt;&gt;"Repurpose"),"⚠ Overdue ","")&amp;IF(AND(J266&lt;&gt;"",D266&lt;&gt;"",IFERROR(J266&gt;INDEX(Setup!$E$9:$E$18,MATCH(D266,Setup!$B$9:$B$18,0)),FALSE())),"✂ Caption too long ","")&amp;IF(AND(M266&lt;&gt;"",D266&lt;&gt;"",IFERROR(M266&gt;INDEX(Setup!$F$9:$F$18,MATCH(D266,Setup!$B$9:$B$18,0)),FALSE())),"# Too many tags","")))</f>
        <v/>
      </c>
      <c r="R266" s="16"/>
      <c r="S266" s="19"/>
      <c r="T266" s="19"/>
      <c r="U266" s="19"/>
      <c r="V266" s="19"/>
      <c r="W266" s="19"/>
      <c r="X266" s="19"/>
      <c r="Y266" s="19"/>
      <c r="Z266" s="47" t="str">
        <f aca="false">IF(COUNT(U266:X266)=0,"",SUM(U266:X266))</f>
        <v/>
      </c>
      <c r="AA266" s="48" t="str">
        <f aca="false">IF(OR(Z266="",N(T266)=0),"",Z266/T266)</f>
        <v/>
      </c>
      <c r="AB266" s="45"/>
      <c r="AC266" s="51" t="str">
        <f aca="false">IF(A266="","",A266+N(C266)+ROW()/10^7)</f>
        <v/>
      </c>
      <c r="AD266" s="51" t="str">
        <f aca="false">IF(A266="","",TEXT(A266,"0")&amp;"|"&amp;COUNTIFS('Content Log'!$A$5:$A$504,A266,'Content Log'!$AC$5:$AC$504,"&lt;="&amp;AC266))</f>
        <v/>
      </c>
      <c r="AE266" s="51" t="str">
        <f aca="false">IF(A266="","",IFERROR(INDEX(Setup!$N$9:$N$14,MATCH(O266,Setup!$M$9:$M$14,0))&amp;" ","")&amp;IF(C266="","",TEXT(C266,"h:mm AM/PM")&amp;" ")&amp;D266&amp;IF(H266="",""," · "&amp;H266))</f>
        <v/>
      </c>
      <c r="AF266" s="51" t="str">
        <f aca="false">IF(OR(A266="",AA266=""),"",IF(AND(A266&gt;=Dashboard!$G$4,A266&lt;=Dashboard!$I$4),AA266+ROW()/10^9,""))</f>
        <v/>
      </c>
      <c r="AG266" s="51" t="str">
        <f aca="false">IF(A266="","",WEEKDAY(A266,2))</f>
        <v/>
      </c>
    </row>
    <row r="267" customFormat="false" ht="15" hidden="false" customHeight="false" outlineLevel="0" collapsed="false">
      <c r="A267" s="43"/>
      <c r="B267" s="11" t="str">
        <f aca="false">IF(A267="","",TEXT(A267,"ddd"))</f>
        <v/>
      </c>
      <c r="C267" s="44"/>
      <c r="D267" s="16"/>
      <c r="E267" s="16"/>
      <c r="F267" s="16"/>
      <c r="G267" s="16"/>
      <c r="H267" s="45"/>
      <c r="I267" s="45"/>
      <c r="J267" s="11" t="str">
        <f aca="false">IF(I267="","",LEN(I267))</f>
        <v/>
      </c>
      <c r="K267" s="16"/>
      <c r="L267" s="16"/>
      <c r="M267" s="11" t="str">
        <f aca="false">IF(L267="","",IFERROR(INDEX('Hashtag Bank'!$E$5:$E$104,MATCH(L267,'Hashtag Bank'!$B$5:$B$104,0)),""))</f>
        <v/>
      </c>
      <c r="N267" s="16"/>
      <c r="O267" s="16"/>
      <c r="P267" s="16"/>
      <c r="Q267" s="46" t="str">
        <f aca="true">IF(A267&amp;H267="","",TRIM(IF(AND(A267&lt;&gt;"",A267&lt;TODAY(),O267&lt;&gt;"Published",O267&lt;&gt;"Repurpose"),"⚠ Overdue ","")&amp;IF(AND(J267&lt;&gt;"",D267&lt;&gt;"",IFERROR(J267&gt;INDEX(Setup!$E$9:$E$18,MATCH(D267,Setup!$B$9:$B$18,0)),FALSE())),"✂ Caption too long ","")&amp;IF(AND(M267&lt;&gt;"",D267&lt;&gt;"",IFERROR(M267&gt;INDEX(Setup!$F$9:$F$18,MATCH(D267,Setup!$B$9:$B$18,0)),FALSE())),"# Too many tags","")))</f>
        <v/>
      </c>
      <c r="R267" s="16"/>
      <c r="S267" s="19"/>
      <c r="T267" s="19"/>
      <c r="U267" s="19"/>
      <c r="V267" s="19"/>
      <c r="W267" s="19"/>
      <c r="X267" s="19"/>
      <c r="Y267" s="19"/>
      <c r="Z267" s="47" t="str">
        <f aca="false">IF(COUNT(U267:X267)=0,"",SUM(U267:X267))</f>
        <v/>
      </c>
      <c r="AA267" s="48" t="str">
        <f aca="false">IF(OR(Z267="",N(T267)=0),"",Z267/T267)</f>
        <v/>
      </c>
      <c r="AB267" s="45"/>
      <c r="AC267" s="51" t="str">
        <f aca="false">IF(A267="","",A267+N(C267)+ROW()/10^7)</f>
        <v/>
      </c>
      <c r="AD267" s="51" t="str">
        <f aca="false">IF(A267="","",TEXT(A267,"0")&amp;"|"&amp;COUNTIFS('Content Log'!$A$5:$A$504,A267,'Content Log'!$AC$5:$AC$504,"&lt;="&amp;AC267))</f>
        <v/>
      </c>
      <c r="AE267" s="51" t="str">
        <f aca="false">IF(A267="","",IFERROR(INDEX(Setup!$N$9:$N$14,MATCH(O267,Setup!$M$9:$M$14,0))&amp;" ","")&amp;IF(C267="","",TEXT(C267,"h:mm AM/PM")&amp;" ")&amp;D267&amp;IF(H267="",""," · "&amp;H267))</f>
        <v/>
      </c>
      <c r="AF267" s="51" t="str">
        <f aca="false">IF(OR(A267="",AA267=""),"",IF(AND(A267&gt;=Dashboard!$G$4,A267&lt;=Dashboard!$I$4),AA267+ROW()/10^9,""))</f>
        <v/>
      </c>
      <c r="AG267" s="51" t="str">
        <f aca="false">IF(A267="","",WEEKDAY(A267,2))</f>
        <v/>
      </c>
    </row>
    <row r="268" customFormat="false" ht="15" hidden="false" customHeight="false" outlineLevel="0" collapsed="false">
      <c r="A268" s="43"/>
      <c r="B268" s="11" t="str">
        <f aca="false">IF(A268="","",TEXT(A268,"ddd"))</f>
        <v/>
      </c>
      <c r="C268" s="44"/>
      <c r="D268" s="16"/>
      <c r="E268" s="16"/>
      <c r="F268" s="16"/>
      <c r="G268" s="16"/>
      <c r="H268" s="45"/>
      <c r="I268" s="45"/>
      <c r="J268" s="11" t="str">
        <f aca="false">IF(I268="","",LEN(I268))</f>
        <v/>
      </c>
      <c r="K268" s="16"/>
      <c r="L268" s="16"/>
      <c r="M268" s="11" t="str">
        <f aca="false">IF(L268="","",IFERROR(INDEX('Hashtag Bank'!$E$5:$E$104,MATCH(L268,'Hashtag Bank'!$B$5:$B$104,0)),""))</f>
        <v/>
      </c>
      <c r="N268" s="16"/>
      <c r="O268" s="16"/>
      <c r="P268" s="16"/>
      <c r="Q268" s="46" t="str">
        <f aca="true">IF(A268&amp;H268="","",TRIM(IF(AND(A268&lt;&gt;"",A268&lt;TODAY(),O268&lt;&gt;"Published",O268&lt;&gt;"Repurpose"),"⚠ Overdue ","")&amp;IF(AND(J268&lt;&gt;"",D268&lt;&gt;"",IFERROR(J268&gt;INDEX(Setup!$E$9:$E$18,MATCH(D268,Setup!$B$9:$B$18,0)),FALSE())),"✂ Caption too long ","")&amp;IF(AND(M268&lt;&gt;"",D268&lt;&gt;"",IFERROR(M268&gt;INDEX(Setup!$F$9:$F$18,MATCH(D268,Setup!$B$9:$B$18,0)),FALSE())),"# Too many tags","")))</f>
        <v/>
      </c>
      <c r="R268" s="16"/>
      <c r="S268" s="19"/>
      <c r="T268" s="19"/>
      <c r="U268" s="19"/>
      <c r="V268" s="19"/>
      <c r="W268" s="19"/>
      <c r="X268" s="19"/>
      <c r="Y268" s="19"/>
      <c r="Z268" s="47" t="str">
        <f aca="false">IF(COUNT(U268:X268)=0,"",SUM(U268:X268))</f>
        <v/>
      </c>
      <c r="AA268" s="48" t="str">
        <f aca="false">IF(OR(Z268="",N(T268)=0),"",Z268/T268)</f>
        <v/>
      </c>
      <c r="AB268" s="45"/>
      <c r="AC268" s="51" t="str">
        <f aca="false">IF(A268="","",A268+N(C268)+ROW()/10^7)</f>
        <v/>
      </c>
      <c r="AD268" s="51" t="str">
        <f aca="false">IF(A268="","",TEXT(A268,"0")&amp;"|"&amp;COUNTIFS('Content Log'!$A$5:$A$504,A268,'Content Log'!$AC$5:$AC$504,"&lt;="&amp;AC268))</f>
        <v/>
      </c>
      <c r="AE268" s="51" t="str">
        <f aca="false">IF(A268="","",IFERROR(INDEX(Setup!$N$9:$N$14,MATCH(O268,Setup!$M$9:$M$14,0))&amp;" ","")&amp;IF(C268="","",TEXT(C268,"h:mm AM/PM")&amp;" ")&amp;D268&amp;IF(H268="",""," · "&amp;H268))</f>
        <v/>
      </c>
      <c r="AF268" s="51" t="str">
        <f aca="false">IF(OR(A268="",AA268=""),"",IF(AND(A268&gt;=Dashboard!$G$4,A268&lt;=Dashboard!$I$4),AA268+ROW()/10^9,""))</f>
        <v/>
      </c>
      <c r="AG268" s="51" t="str">
        <f aca="false">IF(A268="","",WEEKDAY(A268,2))</f>
        <v/>
      </c>
    </row>
    <row r="269" customFormat="false" ht="15" hidden="false" customHeight="false" outlineLevel="0" collapsed="false">
      <c r="A269" s="43"/>
      <c r="B269" s="11" t="str">
        <f aca="false">IF(A269="","",TEXT(A269,"ddd"))</f>
        <v/>
      </c>
      <c r="C269" s="44"/>
      <c r="D269" s="16"/>
      <c r="E269" s="16"/>
      <c r="F269" s="16"/>
      <c r="G269" s="16"/>
      <c r="H269" s="45"/>
      <c r="I269" s="45"/>
      <c r="J269" s="11" t="str">
        <f aca="false">IF(I269="","",LEN(I269))</f>
        <v/>
      </c>
      <c r="K269" s="16"/>
      <c r="L269" s="16"/>
      <c r="M269" s="11" t="str">
        <f aca="false">IF(L269="","",IFERROR(INDEX('Hashtag Bank'!$E$5:$E$104,MATCH(L269,'Hashtag Bank'!$B$5:$B$104,0)),""))</f>
        <v/>
      </c>
      <c r="N269" s="16"/>
      <c r="O269" s="16"/>
      <c r="P269" s="16"/>
      <c r="Q269" s="46" t="str">
        <f aca="true">IF(A269&amp;H269="","",TRIM(IF(AND(A269&lt;&gt;"",A269&lt;TODAY(),O269&lt;&gt;"Published",O269&lt;&gt;"Repurpose"),"⚠ Overdue ","")&amp;IF(AND(J269&lt;&gt;"",D269&lt;&gt;"",IFERROR(J269&gt;INDEX(Setup!$E$9:$E$18,MATCH(D269,Setup!$B$9:$B$18,0)),FALSE())),"✂ Caption too long ","")&amp;IF(AND(M269&lt;&gt;"",D269&lt;&gt;"",IFERROR(M269&gt;INDEX(Setup!$F$9:$F$18,MATCH(D269,Setup!$B$9:$B$18,0)),FALSE())),"# Too many tags","")))</f>
        <v/>
      </c>
      <c r="R269" s="16"/>
      <c r="S269" s="19"/>
      <c r="T269" s="19"/>
      <c r="U269" s="19"/>
      <c r="V269" s="19"/>
      <c r="W269" s="19"/>
      <c r="X269" s="19"/>
      <c r="Y269" s="19"/>
      <c r="Z269" s="47" t="str">
        <f aca="false">IF(COUNT(U269:X269)=0,"",SUM(U269:X269))</f>
        <v/>
      </c>
      <c r="AA269" s="48" t="str">
        <f aca="false">IF(OR(Z269="",N(T269)=0),"",Z269/T269)</f>
        <v/>
      </c>
      <c r="AB269" s="45"/>
      <c r="AC269" s="51" t="str">
        <f aca="false">IF(A269="","",A269+N(C269)+ROW()/10^7)</f>
        <v/>
      </c>
      <c r="AD269" s="51" t="str">
        <f aca="false">IF(A269="","",TEXT(A269,"0")&amp;"|"&amp;COUNTIFS('Content Log'!$A$5:$A$504,A269,'Content Log'!$AC$5:$AC$504,"&lt;="&amp;AC269))</f>
        <v/>
      </c>
      <c r="AE269" s="51" t="str">
        <f aca="false">IF(A269="","",IFERROR(INDEX(Setup!$N$9:$N$14,MATCH(O269,Setup!$M$9:$M$14,0))&amp;" ","")&amp;IF(C269="","",TEXT(C269,"h:mm AM/PM")&amp;" ")&amp;D269&amp;IF(H269="",""," · "&amp;H269))</f>
        <v/>
      </c>
      <c r="AF269" s="51" t="str">
        <f aca="false">IF(OR(A269="",AA269=""),"",IF(AND(A269&gt;=Dashboard!$G$4,A269&lt;=Dashboard!$I$4),AA269+ROW()/10^9,""))</f>
        <v/>
      </c>
      <c r="AG269" s="51" t="str">
        <f aca="false">IF(A269="","",WEEKDAY(A269,2))</f>
        <v/>
      </c>
    </row>
    <row r="270" customFormat="false" ht="15" hidden="false" customHeight="false" outlineLevel="0" collapsed="false">
      <c r="A270" s="43"/>
      <c r="B270" s="11" t="str">
        <f aca="false">IF(A270="","",TEXT(A270,"ddd"))</f>
        <v/>
      </c>
      <c r="C270" s="44"/>
      <c r="D270" s="16"/>
      <c r="E270" s="16"/>
      <c r="F270" s="16"/>
      <c r="G270" s="16"/>
      <c r="H270" s="45"/>
      <c r="I270" s="45"/>
      <c r="J270" s="11" t="str">
        <f aca="false">IF(I270="","",LEN(I270))</f>
        <v/>
      </c>
      <c r="K270" s="16"/>
      <c r="L270" s="16"/>
      <c r="M270" s="11" t="str">
        <f aca="false">IF(L270="","",IFERROR(INDEX('Hashtag Bank'!$E$5:$E$104,MATCH(L270,'Hashtag Bank'!$B$5:$B$104,0)),""))</f>
        <v/>
      </c>
      <c r="N270" s="16"/>
      <c r="O270" s="16"/>
      <c r="P270" s="16"/>
      <c r="Q270" s="46" t="str">
        <f aca="true">IF(A270&amp;H270="","",TRIM(IF(AND(A270&lt;&gt;"",A270&lt;TODAY(),O270&lt;&gt;"Published",O270&lt;&gt;"Repurpose"),"⚠ Overdue ","")&amp;IF(AND(J270&lt;&gt;"",D270&lt;&gt;"",IFERROR(J270&gt;INDEX(Setup!$E$9:$E$18,MATCH(D270,Setup!$B$9:$B$18,0)),FALSE())),"✂ Caption too long ","")&amp;IF(AND(M270&lt;&gt;"",D270&lt;&gt;"",IFERROR(M270&gt;INDEX(Setup!$F$9:$F$18,MATCH(D270,Setup!$B$9:$B$18,0)),FALSE())),"# Too many tags","")))</f>
        <v/>
      </c>
      <c r="R270" s="16"/>
      <c r="S270" s="19"/>
      <c r="T270" s="19"/>
      <c r="U270" s="19"/>
      <c r="V270" s="19"/>
      <c r="W270" s="19"/>
      <c r="X270" s="19"/>
      <c r="Y270" s="19"/>
      <c r="Z270" s="47" t="str">
        <f aca="false">IF(COUNT(U270:X270)=0,"",SUM(U270:X270))</f>
        <v/>
      </c>
      <c r="AA270" s="48" t="str">
        <f aca="false">IF(OR(Z270="",N(T270)=0),"",Z270/T270)</f>
        <v/>
      </c>
      <c r="AB270" s="45"/>
      <c r="AC270" s="51" t="str">
        <f aca="false">IF(A270="","",A270+N(C270)+ROW()/10^7)</f>
        <v/>
      </c>
      <c r="AD270" s="51" t="str">
        <f aca="false">IF(A270="","",TEXT(A270,"0")&amp;"|"&amp;COUNTIFS('Content Log'!$A$5:$A$504,A270,'Content Log'!$AC$5:$AC$504,"&lt;="&amp;AC270))</f>
        <v/>
      </c>
      <c r="AE270" s="51" t="str">
        <f aca="false">IF(A270="","",IFERROR(INDEX(Setup!$N$9:$N$14,MATCH(O270,Setup!$M$9:$M$14,0))&amp;" ","")&amp;IF(C270="","",TEXT(C270,"h:mm AM/PM")&amp;" ")&amp;D270&amp;IF(H270="",""," · "&amp;H270))</f>
        <v/>
      </c>
      <c r="AF270" s="51" t="str">
        <f aca="false">IF(OR(A270="",AA270=""),"",IF(AND(A270&gt;=Dashboard!$G$4,A270&lt;=Dashboard!$I$4),AA270+ROW()/10^9,""))</f>
        <v/>
      </c>
      <c r="AG270" s="51" t="str">
        <f aca="false">IF(A270="","",WEEKDAY(A270,2))</f>
        <v/>
      </c>
    </row>
    <row r="271" customFormat="false" ht="15" hidden="false" customHeight="false" outlineLevel="0" collapsed="false">
      <c r="A271" s="43"/>
      <c r="B271" s="11" t="str">
        <f aca="false">IF(A271="","",TEXT(A271,"ddd"))</f>
        <v/>
      </c>
      <c r="C271" s="44"/>
      <c r="D271" s="16"/>
      <c r="E271" s="16"/>
      <c r="F271" s="16"/>
      <c r="G271" s="16"/>
      <c r="H271" s="45"/>
      <c r="I271" s="45"/>
      <c r="J271" s="11" t="str">
        <f aca="false">IF(I271="","",LEN(I271))</f>
        <v/>
      </c>
      <c r="K271" s="16"/>
      <c r="L271" s="16"/>
      <c r="M271" s="11" t="str">
        <f aca="false">IF(L271="","",IFERROR(INDEX('Hashtag Bank'!$E$5:$E$104,MATCH(L271,'Hashtag Bank'!$B$5:$B$104,0)),""))</f>
        <v/>
      </c>
      <c r="N271" s="16"/>
      <c r="O271" s="16"/>
      <c r="P271" s="16"/>
      <c r="Q271" s="46" t="str">
        <f aca="true">IF(A271&amp;H271="","",TRIM(IF(AND(A271&lt;&gt;"",A271&lt;TODAY(),O271&lt;&gt;"Published",O271&lt;&gt;"Repurpose"),"⚠ Overdue ","")&amp;IF(AND(J271&lt;&gt;"",D271&lt;&gt;"",IFERROR(J271&gt;INDEX(Setup!$E$9:$E$18,MATCH(D271,Setup!$B$9:$B$18,0)),FALSE())),"✂ Caption too long ","")&amp;IF(AND(M271&lt;&gt;"",D271&lt;&gt;"",IFERROR(M271&gt;INDEX(Setup!$F$9:$F$18,MATCH(D271,Setup!$B$9:$B$18,0)),FALSE())),"# Too many tags","")))</f>
        <v/>
      </c>
      <c r="R271" s="16"/>
      <c r="S271" s="19"/>
      <c r="T271" s="19"/>
      <c r="U271" s="19"/>
      <c r="V271" s="19"/>
      <c r="W271" s="19"/>
      <c r="X271" s="19"/>
      <c r="Y271" s="19"/>
      <c r="Z271" s="47" t="str">
        <f aca="false">IF(COUNT(U271:X271)=0,"",SUM(U271:X271))</f>
        <v/>
      </c>
      <c r="AA271" s="48" t="str">
        <f aca="false">IF(OR(Z271="",N(T271)=0),"",Z271/T271)</f>
        <v/>
      </c>
      <c r="AB271" s="45"/>
      <c r="AC271" s="51" t="str">
        <f aca="false">IF(A271="","",A271+N(C271)+ROW()/10^7)</f>
        <v/>
      </c>
      <c r="AD271" s="51" t="str">
        <f aca="false">IF(A271="","",TEXT(A271,"0")&amp;"|"&amp;COUNTIFS('Content Log'!$A$5:$A$504,A271,'Content Log'!$AC$5:$AC$504,"&lt;="&amp;AC271))</f>
        <v/>
      </c>
      <c r="AE271" s="51" t="str">
        <f aca="false">IF(A271="","",IFERROR(INDEX(Setup!$N$9:$N$14,MATCH(O271,Setup!$M$9:$M$14,0))&amp;" ","")&amp;IF(C271="","",TEXT(C271,"h:mm AM/PM")&amp;" ")&amp;D271&amp;IF(H271="",""," · "&amp;H271))</f>
        <v/>
      </c>
      <c r="AF271" s="51" t="str">
        <f aca="false">IF(OR(A271="",AA271=""),"",IF(AND(A271&gt;=Dashboard!$G$4,A271&lt;=Dashboard!$I$4),AA271+ROW()/10^9,""))</f>
        <v/>
      </c>
      <c r="AG271" s="51" t="str">
        <f aca="false">IF(A271="","",WEEKDAY(A271,2))</f>
        <v/>
      </c>
    </row>
    <row r="272" customFormat="false" ht="15" hidden="false" customHeight="false" outlineLevel="0" collapsed="false">
      <c r="A272" s="43"/>
      <c r="B272" s="11" t="str">
        <f aca="false">IF(A272="","",TEXT(A272,"ddd"))</f>
        <v/>
      </c>
      <c r="C272" s="44"/>
      <c r="D272" s="16"/>
      <c r="E272" s="16"/>
      <c r="F272" s="16"/>
      <c r="G272" s="16"/>
      <c r="H272" s="45"/>
      <c r="I272" s="45"/>
      <c r="J272" s="11" t="str">
        <f aca="false">IF(I272="","",LEN(I272))</f>
        <v/>
      </c>
      <c r="K272" s="16"/>
      <c r="L272" s="16"/>
      <c r="M272" s="11" t="str">
        <f aca="false">IF(L272="","",IFERROR(INDEX('Hashtag Bank'!$E$5:$E$104,MATCH(L272,'Hashtag Bank'!$B$5:$B$104,0)),""))</f>
        <v/>
      </c>
      <c r="N272" s="16"/>
      <c r="O272" s="16"/>
      <c r="P272" s="16"/>
      <c r="Q272" s="46" t="str">
        <f aca="true">IF(A272&amp;H272="","",TRIM(IF(AND(A272&lt;&gt;"",A272&lt;TODAY(),O272&lt;&gt;"Published",O272&lt;&gt;"Repurpose"),"⚠ Overdue ","")&amp;IF(AND(J272&lt;&gt;"",D272&lt;&gt;"",IFERROR(J272&gt;INDEX(Setup!$E$9:$E$18,MATCH(D272,Setup!$B$9:$B$18,0)),FALSE())),"✂ Caption too long ","")&amp;IF(AND(M272&lt;&gt;"",D272&lt;&gt;"",IFERROR(M272&gt;INDEX(Setup!$F$9:$F$18,MATCH(D272,Setup!$B$9:$B$18,0)),FALSE())),"# Too many tags","")))</f>
        <v/>
      </c>
      <c r="R272" s="16"/>
      <c r="S272" s="19"/>
      <c r="T272" s="19"/>
      <c r="U272" s="19"/>
      <c r="V272" s="19"/>
      <c r="W272" s="19"/>
      <c r="X272" s="19"/>
      <c r="Y272" s="19"/>
      <c r="Z272" s="47" t="str">
        <f aca="false">IF(COUNT(U272:X272)=0,"",SUM(U272:X272))</f>
        <v/>
      </c>
      <c r="AA272" s="48" t="str">
        <f aca="false">IF(OR(Z272="",N(T272)=0),"",Z272/T272)</f>
        <v/>
      </c>
      <c r="AB272" s="45"/>
      <c r="AC272" s="51" t="str">
        <f aca="false">IF(A272="","",A272+N(C272)+ROW()/10^7)</f>
        <v/>
      </c>
      <c r="AD272" s="51" t="str">
        <f aca="false">IF(A272="","",TEXT(A272,"0")&amp;"|"&amp;COUNTIFS('Content Log'!$A$5:$A$504,A272,'Content Log'!$AC$5:$AC$504,"&lt;="&amp;AC272))</f>
        <v/>
      </c>
      <c r="AE272" s="51" t="str">
        <f aca="false">IF(A272="","",IFERROR(INDEX(Setup!$N$9:$N$14,MATCH(O272,Setup!$M$9:$M$14,0))&amp;" ","")&amp;IF(C272="","",TEXT(C272,"h:mm AM/PM")&amp;" ")&amp;D272&amp;IF(H272="",""," · "&amp;H272))</f>
        <v/>
      </c>
      <c r="AF272" s="51" t="str">
        <f aca="false">IF(OR(A272="",AA272=""),"",IF(AND(A272&gt;=Dashboard!$G$4,A272&lt;=Dashboard!$I$4),AA272+ROW()/10^9,""))</f>
        <v/>
      </c>
      <c r="AG272" s="51" t="str">
        <f aca="false">IF(A272="","",WEEKDAY(A272,2))</f>
        <v/>
      </c>
    </row>
    <row r="273" customFormat="false" ht="15" hidden="false" customHeight="false" outlineLevel="0" collapsed="false">
      <c r="A273" s="43"/>
      <c r="B273" s="11" t="str">
        <f aca="false">IF(A273="","",TEXT(A273,"ddd"))</f>
        <v/>
      </c>
      <c r="C273" s="44"/>
      <c r="D273" s="16"/>
      <c r="E273" s="16"/>
      <c r="F273" s="16"/>
      <c r="G273" s="16"/>
      <c r="H273" s="45"/>
      <c r="I273" s="45"/>
      <c r="J273" s="11" t="str">
        <f aca="false">IF(I273="","",LEN(I273))</f>
        <v/>
      </c>
      <c r="K273" s="16"/>
      <c r="L273" s="16"/>
      <c r="M273" s="11" t="str">
        <f aca="false">IF(L273="","",IFERROR(INDEX('Hashtag Bank'!$E$5:$E$104,MATCH(L273,'Hashtag Bank'!$B$5:$B$104,0)),""))</f>
        <v/>
      </c>
      <c r="N273" s="16"/>
      <c r="O273" s="16"/>
      <c r="P273" s="16"/>
      <c r="Q273" s="46" t="str">
        <f aca="true">IF(A273&amp;H273="","",TRIM(IF(AND(A273&lt;&gt;"",A273&lt;TODAY(),O273&lt;&gt;"Published",O273&lt;&gt;"Repurpose"),"⚠ Overdue ","")&amp;IF(AND(J273&lt;&gt;"",D273&lt;&gt;"",IFERROR(J273&gt;INDEX(Setup!$E$9:$E$18,MATCH(D273,Setup!$B$9:$B$18,0)),FALSE())),"✂ Caption too long ","")&amp;IF(AND(M273&lt;&gt;"",D273&lt;&gt;"",IFERROR(M273&gt;INDEX(Setup!$F$9:$F$18,MATCH(D273,Setup!$B$9:$B$18,0)),FALSE())),"# Too many tags","")))</f>
        <v/>
      </c>
      <c r="R273" s="16"/>
      <c r="S273" s="19"/>
      <c r="T273" s="19"/>
      <c r="U273" s="19"/>
      <c r="V273" s="19"/>
      <c r="W273" s="19"/>
      <c r="X273" s="19"/>
      <c r="Y273" s="19"/>
      <c r="Z273" s="47" t="str">
        <f aca="false">IF(COUNT(U273:X273)=0,"",SUM(U273:X273))</f>
        <v/>
      </c>
      <c r="AA273" s="48" t="str">
        <f aca="false">IF(OR(Z273="",N(T273)=0),"",Z273/T273)</f>
        <v/>
      </c>
      <c r="AB273" s="45"/>
      <c r="AC273" s="51" t="str">
        <f aca="false">IF(A273="","",A273+N(C273)+ROW()/10^7)</f>
        <v/>
      </c>
      <c r="AD273" s="51" t="str">
        <f aca="false">IF(A273="","",TEXT(A273,"0")&amp;"|"&amp;COUNTIFS('Content Log'!$A$5:$A$504,A273,'Content Log'!$AC$5:$AC$504,"&lt;="&amp;AC273))</f>
        <v/>
      </c>
      <c r="AE273" s="51" t="str">
        <f aca="false">IF(A273="","",IFERROR(INDEX(Setup!$N$9:$N$14,MATCH(O273,Setup!$M$9:$M$14,0))&amp;" ","")&amp;IF(C273="","",TEXT(C273,"h:mm AM/PM")&amp;" ")&amp;D273&amp;IF(H273="",""," · "&amp;H273))</f>
        <v/>
      </c>
      <c r="AF273" s="51" t="str">
        <f aca="false">IF(OR(A273="",AA273=""),"",IF(AND(A273&gt;=Dashboard!$G$4,A273&lt;=Dashboard!$I$4),AA273+ROW()/10^9,""))</f>
        <v/>
      </c>
      <c r="AG273" s="51" t="str">
        <f aca="false">IF(A273="","",WEEKDAY(A273,2))</f>
        <v/>
      </c>
    </row>
    <row r="274" customFormat="false" ht="15" hidden="false" customHeight="false" outlineLevel="0" collapsed="false">
      <c r="A274" s="43"/>
      <c r="B274" s="11" t="str">
        <f aca="false">IF(A274="","",TEXT(A274,"ddd"))</f>
        <v/>
      </c>
      <c r="C274" s="44"/>
      <c r="D274" s="16"/>
      <c r="E274" s="16"/>
      <c r="F274" s="16"/>
      <c r="G274" s="16"/>
      <c r="H274" s="45"/>
      <c r="I274" s="45"/>
      <c r="J274" s="11" t="str">
        <f aca="false">IF(I274="","",LEN(I274))</f>
        <v/>
      </c>
      <c r="K274" s="16"/>
      <c r="L274" s="16"/>
      <c r="M274" s="11" t="str">
        <f aca="false">IF(L274="","",IFERROR(INDEX('Hashtag Bank'!$E$5:$E$104,MATCH(L274,'Hashtag Bank'!$B$5:$B$104,0)),""))</f>
        <v/>
      </c>
      <c r="N274" s="16"/>
      <c r="O274" s="16"/>
      <c r="P274" s="16"/>
      <c r="Q274" s="46" t="str">
        <f aca="true">IF(A274&amp;H274="","",TRIM(IF(AND(A274&lt;&gt;"",A274&lt;TODAY(),O274&lt;&gt;"Published",O274&lt;&gt;"Repurpose"),"⚠ Overdue ","")&amp;IF(AND(J274&lt;&gt;"",D274&lt;&gt;"",IFERROR(J274&gt;INDEX(Setup!$E$9:$E$18,MATCH(D274,Setup!$B$9:$B$18,0)),FALSE())),"✂ Caption too long ","")&amp;IF(AND(M274&lt;&gt;"",D274&lt;&gt;"",IFERROR(M274&gt;INDEX(Setup!$F$9:$F$18,MATCH(D274,Setup!$B$9:$B$18,0)),FALSE())),"# Too many tags","")))</f>
        <v/>
      </c>
      <c r="R274" s="16"/>
      <c r="S274" s="19"/>
      <c r="T274" s="19"/>
      <c r="U274" s="19"/>
      <c r="V274" s="19"/>
      <c r="W274" s="19"/>
      <c r="X274" s="19"/>
      <c r="Y274" s="19"/>
      <c r="Z274" s="47" t="str">
        <f aca="false">IF(COUNT(U274:X274)=0,"",SUM(U274:X274))</f>
        <v/>
      </c>
      <c r="AA274" s="48" t="str">
        <f aca="false">IF(OR(Z274="",N(T274)=0),"",Z274/T274)</f>
        <v/>
      </c>
      <c r="AB274" s="45"/>
      <c r="AC274" s="51" t="str">
        <f aca="false">IF(A274="","",A274+N(C274)+ROW()/10^7)</f>
        <v/>
      </c>
      <c r="AD274" s="51" t="str">
        <f aca="false">IF(A274="","",TEXT(A274,"0")&amp;"|"&amp;COUNTIFS('Content Log'!$A$5:$A$504,A274,'Content Log'!$AC$5:$AC$504,"&lt;="&amp;AC274))</f>
        <v/>
      </c>
      <c r="AE274" s="51" t="str">
        <f aca="false">IF(A274="","",IFERROR(INDEX(Setup!$N$9:$N$14,MATCH(O274,Setup!$M$9:$M$14,0))&amp;" ","")&amp;IF(C274="","",TEXT(C274,"h:mm AM/PM")&amp;" ")&amp;D274&amp;IF(H274="",""," · "&amp;H274))</f>
        <v/>
      </c>
      <c r="AF274" s="51" t="str">
        <f aca="false">IF(OR(A274="",AA274=""),"",IF(AND(A274&gt;=Dashboard!$G$4,A274&lt;=Dashboard!$I$4),AA274+ROW()/10^9,""))</f>
        <v/>
      </c>
      <c r="AG274" s="51" t="str">
        <f aca="false">IF(A274="","",WEEKDAY(A274,2))</f>
        <v/>
      </c>
    </row>
    <row r="275" customFormat="false" ht="15" hidden="false" customHeight="false" outlineLevel="0" collapsed="false">
      <c r="A275" s="43"/>
      <c r="B275" s="11" t="str">
        <f aca="false">IF(A275="","",TEXT(A275,"ddd"))</f>
        <v/>
      </c>
      <c r="C275" s="44"/>
      <c r="D275" s="16"/>
      <c r="E275" s="16"/>
      <c r="F275" s="16"/>
      <c r="G275" s="16"/>
      <c r="H275" s="45"/>
      <c r="I275" s="45"/>
      <c r="J275" s="11" t="str">
        <f aca="false">IF(I275="","",LEN(I275))</f>
        <v/>
      </c>
      <c r="K275" s="16"/>
      <c r="L275" s="16"/>
      <c r="M275" s="11" t="str">
        <f aca="false">IF(L275="","",IFERROR(INDEX('Hashtag Bank'!$E$5:$E$104,MATCH(L275,'Hashtag Bank'!$B$5:$B$104,0)),""))</f>
        <v/>
      </c>
      <c r="N275" s="16"/>
      <c r="O275" s="16"/>
      <c r="P275" s="16"/>
      <c r="Q275" s="46" t="str">
        <f aca="true">IF(A275&amp;H275="","",TRIM(IF(AND(A275&lt;&gt;"",A275&lt;TODAY(),O275&lt;&gt;"Published",O275&lt;&gt;"Repurpose"),"⚠ Overdue ","")&amp;IF(AND(J275&lt;&gt;"",D275&lt;&gt;"",IFERROR(J275&gt;INDEX(Setup!$E$9:$E$18,MATCH(D275,Setup!$B$9:$B$18,0)),FALSE())),"✂ Caption too long ","")&amp;IF(AND(M275&lt;&gt;"",D275&lt;&gt;"",IFERROR(M275&gt;INDEX(Setup!$F$9:$F$18,MATCH(D275,Setup!$B$9:$B$18,0)),FALSE())),"# Too many tags","")))</f>
        <v/>
      </c>
      <c r="R275" s="16"/>
      <c r="S275" s="19"/>
      <c r="T275" s="19"/>
      <c r="U275" s="19"/>
      <c r="V275" s="19"/>
      <c r="W275" s="19"/>
      <c r="X275" s="19"/>
      <c r="Y275" s="19"/>
      <c r="Z275" s="47" t="str">
        <f aca="false">IF(COUNT(U275:X275)=0,"",SUM(U275:X275))</f>
        <v/>
      </c>
      <c r="AA275" s="48" t="str">
        <f aca="false">IF(OR(Z275="",N(T275)=0),"",Z275/T275)</f>
        <v/>
      </c>
      <c r="AB275" s="45"/>
      <c r="AC275" s="51" t="str">
        <f aca="false">IF(A275="","",A275+N(C275)+ROW()/10^7)</f>
        <v/>
      </c>
      <c r="AD275" s="51" t="str">
        <f aca="false">IF(A275="","",TEXT(A275,"0")&amp;"|"&amp;COUNTIFS('Content Log'!$A$5:$A$504,A275,'Content Log'!$AC$5:$AC$504,"&lt;="&amp;AC275))</f>
        <v/>
      </c>
      <c r="AE275" s="51" t="str">
        <f aca="false">IF(A275="","",IFERROR(INDEX(Setup!$N$9:$N$14,MATCH(O275,Setup!$M$9:$M$14,0))&amp;" ","")&amp;IF(C275="","",TEXT(C275,"h:mm AM/PM")&amp;" ")&amp;D275&amp;IF(H275="",""," · "&amp;H275))</f>
        <v/>
      </c>
      <c r="AF275" s="51" t="str">
        <f aca="false">IF(OR(A275="",AA275=""),"",IF(AND(A275&gt;=Dashboard!$G$4,A275&lt;=Dashboard!$I$4),AA275+ROW()/10^9,""))</f>
        <v/>
      </c>
      <c r="AG275" s="51" t="str">
        <f aca="false">IF(A275="","",WEEKDAY(A275,2))</f>
        <v/>
      </c>
    </row>
    <row r="276" customFormat="false" ht="15" hidden="false" customHeight="false" outlineLevel="0" collapsed="false">
      <c r="A276" s="43"/>
      <c r="B276" s="11" t="str">
        <f aca="false">IF(A276="","",TEXT(A276,"ddd"))</f>
        <v/>
      </c>
      <c r="C276" s="44"/>
      <c r="D276" s="16"/>
      <c r="E276" s="16"/>
      <c r="F276" s="16"/>
      <c r="G276" s="16"/>
      <c r="H276" s="45"/>
      <c r="I276" s="45"/>
      <c r="J276" s="11" t="str">
        <f aca="false">IF(I276="","",LEN(I276))</f>
        <v/>
      </c>
      <c r="K276" s="16"/>
      <c r="L276" s="16"/>
      <c r="M276" s="11" t="str">
        <f aca="false">IF(L276="","",IFERROR(INDEX('Hashtag Bank'!$E$5:$E$104,MATCH(L276,'Hashtag Bank'!$B$5:$B$104,0)),""))</f>
        <v/>
      </c>
      <c r="N276" s="16"/>
      <c r="O276" s="16"/>
      <c r="P276" s="16"/>
      <c r="Q276" s="46" t="str">
        <f aca="true">IF(A276&amp;H276="","",TRIM(IF(AND(A276&lt;&gt;"",A276&lt;TODAY(),O276&lt;&gt;"Published",O276&lt;&gt;"Repurpose"),"⚠ Overdue ","")&amp;IF(AND(J276&lt;&gt;"",D276&lt;&gt;"",IFERROR(J276&gt;INDEX(Setup!$E$9:$E$18,MATCH(D276,Setup!$B$9:$B$18,0)),FALSE())),"✂ Caption too long ","")&amp;IF(AND(M276&lt;&gt;"",D276&lt;&gt;"",IFERROR(M276&gt;INDEX(Setup!$F$9:$F$18,MATCH(D276,Setup!$B$9:$B$18,0)),FALSE())),"# Too many tags","")))</f>
        <v/>
      </c>
      <c r="R276" s="16"/>
      <c r="S276" s="19"/>
      <c r="T276" s="19"/>
      <c r="U276" s="19"/>
      <c r="V276" s="19"/>
      <c r="W276" s="19"/>
      <c r="X276" s="19"/>
      <c r="Y276" s="19"/>
      <c r="Z276" s="47" t="str">
        <f aca="false">IF(COUNT(U276:X276)=0,"",SUM(U276:X276))</f>
        <v/>
      </c>
      <c r="AA276" s="48" t="str">
        <f aca="false">IF(OR(Z276="",N(T276)=0),"",Z276/T276)</f>
        <v/>
      </c>
      <c r="AB276" s="45"/>
      <c r="AC276" s="51" t="str">
        <f aca="false">IF(A276="","",A276+N(C276)+ROW()/10^7)</f>
        <v/>
      </c>
      <c r="AD276" s="51" t="str">
        <f aca="false">IF(A276="","",TEXT(A276,"0")&amp;"|"&amp;COUNTIFS('Content Log'!$A$5:$A$504,A276,'Content Log'!$AC$5:$AC$504,"&lt;="&amp;AC276))</f>
        <v/>
      </c>
      <c r="AE276" s="51" t="str">
        <f aca="false">IF(A276="","",IFERROR(INDEX(Setup!$N$9:$N$14,MATCH(O276,Setup!$M$9:$M$14,0))&amp;" ","")&amp;IF(C276="","",TEXT(C276,"h:mm AM/PM")&amp;" ")&amp;D276&amp;IF(H276="",""," · "&amp;H276))</f>
        <v/>
      </c>
      <c r="AF276" s="51" t="str">
        <f aca="false">IF(OR(A276="",AA276=""),"",IF(AND(A276&gt;=Dashboard!$G$4,A276&lt;=Dashboard!$I$4),AA276+ROW()/10^9,""))</f>
        <v/>
      </c>
      <c r="AG276" s="51" t="str">
        <f aca="false">IF(A276="","",WEEKDAY(A276,2))</f>
        <v/>
      </c>
    </row>
    <row r="277" customFormat="false" ht="15" hidden="false" customHeight="false" outlineLevel="0" collapsed="false">
      <c r="A277" s="43"/>
      <c r="B277" s="11" t="str">
        <f aca="false">IF(A277="","",TEXT(A277,"ddd"))</f>
        <v/>
      </c>
      <c r="C277" s="44"/>
      <c r="D277" s="16"/>
      <c r="E277" s="16"/>
      <c r="F277" s="16"/>
      <c r="G277" s="16"/>
      <c r="H277" s="45"/>
      <c r="I277" s="45"/>
      <c r="J277" s="11" t="str">
        <f aca="false">IF(I277="","",LEN(I277))</f>
        <v/>
      </c>
      <c r="K277" s="16"/>
      <c r="L277" s="16"/>
      <c r="M277" s="11" t="str">
        <f aca="false">IF(L277="","",IFERROR(INDEX('Hashtag Bank'!$E$5:$E$104,MATCH(L277,'Hashtag Bank'!$B$5:$B$104,0)),""))</f>
        <v/>
      </c>
      <c r="N277" s="16"/>
      <c r="O277" s="16"/>
      <c r="P277" s="16"/>
      <c r="Q277" s="46" t="str">
        <f aca="true">IF(A277&amp;H277="","",TRIM(IF(AND(A277&lt;&gt;"",A277&lt;TODAY(),O277&lt;&gt;"Published",O277&lt;&gt;"Repurpose"),"⚠ Overdue ","")&amp;IF(AND(J277&lt;&gt;"",D277&lt;&gt;"",IFERROR(J277&gt;INDEX(Setup!$E$9:$E$18,MATCH(D277,Setup!$B$9:$B$18,0)),FALSE())),"✂ Caption too long ","")&amp;IF(AND(M277&lt;&gt;"",D277&lt;&gt;"",IFERROR(M277&gt;INDEX(Setup!$F$9:$F$18,MATCH(D277,Setup!$B$9:$B$18,0)),FALSE())),"# Too many tags","")))</f>
        <v/>
      </c>
      <c r="R277" s="16"/>
      <c r="S277" s="19"/>
      <c r="T277" s="19"/>
      <c r="U277" s="19"/>
      <c r="V277" s="19"/>
      <c r="W277" s="19"/>
      <c r="X277" s="19"/>
      <c r="Y277" s="19"/>
      <c r="Z277" s="47" t="str">
        <f aca="false">IF(COUNT(U277:X277)=0,"",SUM(U277:X277))</f>
        <v/>
      </c>
      <c r="AA277" s="48" t="str">
        <f aca="false">IF(OR(Z277="",N(T277)=0),"",Z277/T277)</f>
        <v/>
      </c>
      <c r="AB277" s="45"/>
      <c r="AC277" s="51" t="str">
        <f aca="false">IF(A277="","",A277+N(C277)+ROW()/10^7)</f>
        <v/>
      </c>
      <c r="AD277" s="51" t="str">
        <f aca="false">IF(A277="","",TEXT(A277,"0")&amp;"|"&amp;COUNTIFS('Content Log'!$A$5:$A$504,A277,'Content Log'!$AC$5:$AC$504,"&lt;="&amp;AC277))</f>
        <v/>
      </c>
      <c r="AE277" s="51" t="str">
        <f aca="false">IF(A277="","",IFERROR(INDEX(Setup!$N$9:$N$14,MATCH(O277,Setup!$M$9:$M$14,0))&amp;" ","")&amp;IF(C277="","",TEXT(C277,"h:mm AM/PM")&amp;" ")&amp;D277&amp;IF(H277="",""," · "&amp;H277))</f>
        <v/>
      </c>
      <c r="AF277" s="51" t="str">
        <f aca="false">IF(OR(A277="",AA277=""),"",IF(AND(A277&gt;=Dashboard!$G$4,A277&lt;=Dashboard!$I$4),AA277+ROW()/10^9,""))</f>
        <v/>
      </c>
      <c r="AG277" s="51" t="str">
        <f aca="false">IF(A277="","",WEEKDAY(A277,2))</f>
        <v/>
      </c>
    </row>
    <row r="278" customFormat="false" ht="15" hidden="false" customHeight="false" outlineLevel="0" collapsed="false">
      <c r="A278" s="43"/>
      <c r="B278" s="11" t="str">
        <f aca="false">IF(A278="","",TEXT(A278,"ddd"))</f>
        <v/>
      </c>
      <c r="C278" s="44"/>
      <c r="D278" s="16"/>
      <c r="E278" s="16"/>
      <c r="F278" s="16"/>
      <c r="G278" s="16"/>
      <c r="H278" s="45"/>
      <c r="I278" s="45"/>
      <c r="J278" s="11" t="str">
        <f aca="false">IF(I278="","",LEN(I278))</f>
        <v/>
      </c>
      <c r="K278" s="16"/>
      <c r="L278" s="16"/>
      <c r="M278" s="11" t="str">
        <f aca="false">IF(L278="","",IFERROR(INDEX('Hashtag Bank'!$E$5:$E$104,MATCH(L278,'Hashtag Bank'!$B$5:$B$104,0)),""))</f>
        <v/>
      </c>
      <c r="N278" s="16"/>
      <c r="O278" s="16"/>
      <c r="P278" s="16"/>
      <c r="Q278" s="46" t="str">
        <f aca="true">IF(A278&amp;H278="","",TRIM(IF(AND(A278&lt;&gt;"",A278&lt;TODAY(),O278&lt;&gt;"Published",O278&lt;&gt;"Repurpose"),"⚠ Overdue ","")&amp;IF(AND(J278&lt;&gt;"",D278&lt;&gt;"",IFERROR(J278&gt;INDEX(Setup!$E$9:$E$18,MATCH(D278,Setup!$B$9:$B$18,0)),FALSE())),"✂ Caption too long ","")&amp;IF(AND(M278&lt;&gt;"",D278&lt;&gt;"",IFERROR(M278&gt;INDEX(Setup!$F$9:$F$18,MATCH(D278,Setup!$B$9:$B$18,0)),FALSE())),"# Too many tags","")))</f>
        <v/>
      </c>
      <c r="R278" s="16"/>
      <c r="S278" s="19"/>
      <c r="T278" s="19"/>
      <c r="U278" s="19"/>
      <c r="V278" s="19"/>
      <c r="W278" s="19"/>
      <c r="X278" s="19"/>
      <c r="Y278" s="19"/>
      <c r="Z278" s="47" t="str">
        <f aca="false">IF(COUNT(U278:X278)=0,"",SUM(U278:X278))</f>
        <v/>
      </c>
      <c r="AA278" s="48" t="str">
        <f aca="false">IF(OR(Z278="",N(T278)=0),"",Z278/T278)</f>
        <v/>
      </c>
      <c r="AB278" s="45"/>
      <c r="AC278" s="51" t="str">
        <f aca="false">IF(A278="","",A278+N(C278)+ROW()/10^7)</f>
        <v/>
      </c>
      <c r="AD278" s="51" t="str">
        <f aca="false">IF(A278="","",TEXT(A278,"0")&amp;"|"&amp;COUNTIFS('Content Log'!$A$5:$A$504,A278,'Content Log'!$AC$5:$AC$504,"&lt;="&amp;AC278))</f>
        <v/>
      </c>
      <c r="AE278" s="51" t="str">
        <f aca="false">IF(A278="","",IFERROR(INDEX(Setup!$N$9:$N$14,MATCH(O278,Setup!$M$9:$M$14,0))&amp;" ","")&amp;IF(C278="","",TEXT(C278,"h:mm AM/PM")&amp;" ")&amp;D278&amp;IF(H278="",""," · "&amp;H278))</f>
        <v/>
      </c>
      <c r="AF278" s="51" t="str">
        <f aca="false">IF(OR(A278="",AA278=""),"",IF(AND(A278&gt;=Dashboard!$G$4,A278&lt;=Dashboard!$I$4),AA278+ROW()/10^9,""))</f>
        <v/>
      </c>
      <c r="AG278" s="51" t="str">
        <f aca="false">IF(A278="","",WEEKDAY(A278,2))</f>
        <v/>
      </c>
    </row>
    <row r="279" customFormat="false" ht="15" hidden="false" customHeight="false" outlineLevel="0" collapsed="false">
      <c r="A279" s="43"/>
      <c r="B279" s="11" t="str">
        <f aca="false">IF(A279="","",TEXT(A279,"ddd"))</f>
        <v/>
      </c>
      <c r="C279" s="44"/>
      <c r="D279" s="16"/>
      <c r="E279" s="16"/>
      <c r="F279" s="16"/>
      <c r="G279" s="16"/>
      <c r="H279" s="45"/>
      <c r="I279" s="45"/>
      <c r="J279" s="11" t="str">
        <f aca="false">IF(I279="","",LEN(I279))</f>
        <v/>
      </c>
      <c r="K279" s="16"/>
      <c r="L279" s="16"/>
      <c r="M279" s="11" t="str">
        <f aca="false">IF(L279="","",IFERROR(INDEX('Hashtag Bank'!$E$5:$E$104,MATCH(L279,'Hashtag Bank'!$B$5:$B$104,0)),""))</f>
        <v/>
      </c>
      <c r="N279" s="16"/>
      <c r="O279" s="16"/>
      <c r="P279" s="16"/>
      <c r="Q279" s="46" t="str">
        <f aca="true">IF(A279&amp;H279="","",TRIM(IF(AND(A279&lt;&gt;"",A279&lt;TODAY(),O279&lt;&gt;"Published",O279&lt;&gt;"Repurpose"),"⚠ Overdue ","")&amp;IF(AND(J279&lt;&gt;"",D279&lt;&gt;"",IFERROR(J279&gt;INDEX(Setup!$E$9:$E$18,MATCH(D279,Setup!$B$9:$B$18,0)),FALSE())),"✂ Caption too long ","")&amp;IF(AND(M279&lt;&gt;"",D279&lt;&gt;"",IFERROR(M279&gt;INDEX(Setup!$F$9:$F$18,MATCH(D279,Setup!$B$9:$B$18,0)),FALSE())),"# Too many tags","")))</f>
        <v/>
      </c>
      <c r="R279" s="16"/>
      <c r="S279" s="19"/>
      <c r="T279" s="19"/>
      <c r="U279" s="19"/>
      <c r="V279" s="19"/>
      <c r="W279" s="19"/>
      <c r="X279" s="19"/>
      <c r="Y279" s="19"/>
      <c r="Z279" s="47" t="str">
        <f aca="false">IF(COUNT(U279:X279)=0,"",SUM(U279:X279))</f>
        <v/>
      </c>
      <c r="AA279" s="48" t="str">
        <f aca="false">IF(OR(Z279="",N(T279)=0),"",Z279/T279)</f>
        <v/>
      </c>
      <c r="AB279" s="45"/>
      <c r="AC279" s="51" t="str">
        <f aca="false">IF(A279="","",A279+N(C279)+ROW()/10^7)</f>
        <v/>
      </c>
      <c r="AD279" s="51" t="str">
        <f aca="false">IF(A279="","",TEXT(A279,"0")&amp;"|"&amp;COUNTIFS('Content Log'!$A$5:$A$504,A279,'Content Log'!$AC$5:$AC$504,"&lt;="&amp;AC279))</f>
        <v/>
      </c>
      <c r="AE279" s="51" t="str">
        <f aca="false">IF(A279="","",IFERROR(INDEX(Setup!$N$9:$N$14,MATCH(O279,Setup!$M$9:$M$14,0))&amp;" ","")&amp;IF(C279="","",TEXT(C279,"h:mm AM/PM")&amp;" ")&amp;D279&amp;IF(H279="",""," · "&amp;H279))</f>
        <v/>
      </c>
      <c r="AF279" s="51" t="str">
        <f aca="false">IF(OR(A279="",AA279=""),"",IF(AND(A279&gt;=Dashboard!$G$4,A279&lt;=Dashboard!$I$4),AA279+ROW()/10^9,""))</f>
        <v/>
      </c>
      <c r="AG279" s="51" t="str">
        <f aca="false">IF(A279="","",WEEKDAY(A279,2))</f>
        <v/>
      </c>
    </row>
    <row r="280" customFormat="false" ht="15" hidden="false" customHeight="false" outlineLevel="0" collapsed="false">
      <c r="A280" s="43"/>
      <c r="B280" s="11" t="str">
        <f aca="false">IF(A280="","",TEXT(A280,"ddd"))</f>
        <v/>
      </c>
      <c r="C280" s="44"/>
      <c r="D280" s="16"/>
      <c r="E280" s="16"/>
      <c r="F280" s="16"/>
      <c r="G280" s="16"/>
      <c r="H280" s="45"/>
      <c r="I280" s="45"/>
      <c r="J280" s="11" t="str">
        <f aca="false">IF(I280="","",LEN(I280))</f>
        <v/>
      </c>
      <c r="K280" s="16"/>
      <c r="L280" s="16"/>
      <c r="M280" s="11" t="str">
        <f aca="false">IF(L280="","",IFERROR(INDEX('Hashtag Bank'!$E$5:$E$104,MATCH(L280,'Hashtag Bank'!$B$5:$B$104,0)),""))</f>
        <v/>
      </c>
      <c r="N280" s="16"/>
      <c r="O280" s="16"/>
      <c r="P280" s="16"/>
      <c r="Q280" s="46" t="str">
        <f aca="true">IF(A280&amp;H280="","",TRIM(IF(AND(A280&lt;&gt;"",A280&lt;TODAY(),O280&lt;&gt;"Published",O280&lt;&gt;"Repurpose"),"⚠ Overdue ","")&amp;IF(AND(J280&lt;&gt;"",D280&lt;&gt;"",IFERROR(J280&gt;INDEX(Setup!$E$9:$E$18,MATCH(D280,Setup!$B$9:$B$18,0)),FALSE())),"✂ Caption too long ","")&amp;IF(AND(M280&lt;&gt;"",D280&lt;&gt;"",IFERROR(M280&gt;INDEX(Setup!$F$9:$F$18,MATCH(D280,Setup!$B$9:$B$18,0)),FALSE())),"# Too many tags","")))</f>
        <v/>
      </c>
      <c r="R280" s="16"/>
      <c r="S280" s="19"/>
      <c r="T280" s="19"/>
      <c r="U280" s="19"/>
      <c r="V280" s="19"/>
      <c r="W280" s="19"/>
      <c r="X280" s="19"/>
      <c r="Y280" s="19"/>
      <c r="Z280" s="47" t="str">
        <f aca="false">IF(COUNT(U280:X280)=0,"",SUM(U280:X280))</f>
        <v/>
      </c>
      <c r="AA280" s="48" t="str">
        <f aca="false">IF(OR(Z280="",N(T280)=0),"",Z280/T280)</f>
        <v/>
      </c>
      <c r="AB280" s="45"/>
      <c r="AC280" s="51" t="str">
        <f aca="false">IF(A280="","",A280+N(C280)+ROW()/10^7)</f>
        <v/>
      </c>
      <c r="AD280" s="51" t="str">
        <f aca="false">IF(A280="","",TEXT(A280,"0")&amp;"|"&amp;COUNTIFS('Content Log'!$A$5:$A$504,A280,'Content Log'!$AC$5:$AC$504,"&lt;="&amp;AC280))</f>
        <v/>
      </c>
      <c r="AE280" s="51" t="str">
        <f aca="false">IF(A280="","",IFERROR(INDEX(Setup!$N$9:$N$14,MATCH(O280,Setup!$M$9:$M$14,0))&amp;" ","")&amp;IF(C280="","",TEXT(C280,"h:mm AM/PM")&amp;" ")&amp;D280&amp;IF(H280="",""," · "&amp;H280))</f>
        <v/>
      </c>
      <c r="AF280" s="51" t="str">
        <f aca="false">IF(OR(A280="",AA280=""),"",IF(AND(A280&gt;=Dashboard!$G$4,A280&lt;=Dashboard!$I$4),AA280+ROW()/10^9,""))</f>
        <v/>
      </c>
      <c r="AG280" s="51" t="str">
        <f aca="false">IF(A280="","",WEEKDAY(A280,2))</f>
        <v/>
      </c>
    </row>
    <row r="281" customFormat="false" ht="15" hidden="false" customHeight="false" outlineLevel="0" collapsed="false">
      <c r="A281" s="43"/>
      <c r="B281" s="11" t="str">
        <f aca="false">IF(A281="","",TEXT(A281,"ddd"))</f>
        <v/>
      </c>
      <c r="C281" s="44"/>
      <c r="D281" s="16"/>
      <c r="E281" s="16"/>
      <c r="F281" s="16"/>
      <c r="G281" s="16"/>
      <c r="H281" s="45"/>
      <c r="I281" s="45"/>
      <c r="J281" s="11" t="str">
        <f aca="false">IF(I281="","",LEN(I281))</f>
        <v/>
      </c>
      <c r="K281" s="16"/>
      <c r="L281" s="16"/>
      <c r="M281" s="11" t="str">
        <f aca="false">IF(L281="","",IFERROR(INDEX('Hashtag Bank'!$E$5:$E$104,MATCH(L281,'Hashtag Bank'!$B$5:$B$104,0)),""))</f>
        <v/>
      </c>
      <c r="N281" s="16"/>
      <c r="O281" s="16"/>
      <c r="P281" s="16"/>
      <c r="Q281" s="46" t="str">
        <f aca="true">IF(A281&amp;H281="","",TRIM(IF(AND(A281&lt;&gt;"",A281&lt;TODAY(),O281&lt;&gt;"Published",O281&lt;&gt;"Repurpose"),"⚠ Overdue ","")&amp;IF(AND(J281&lt;&gt;"",D281&lt;&gt;"",IFERROR(J281&gt;INDEX(Setup!$E$9:$E$18,MATCH(D281,Setup!$B$9:$B$18,0)),FALSE())),"✂ Caption too long ","")&amp;IF(AND(M281&lt;&gt;"",D281&lt;&gt;"",IFERROR(M281&gt;INDEX(Setup!$F$9:$F$18,MATCH(D281,Setup!$B$9:$B$18,0)),FALSE())),"# Too many tags","")))</f>
        <v/>
      </c>
      <c r="R281" s="16"/>
      <c r="S281" s="19"/>
      <c r="T281" s="19"/>
      <c r="U281" s="19"/>
      <c r="V281" s="19"/>
      <c r="W281" s="19"/>
      <c r="X281" s="19"/>
      <c r="Y281" s="19"/>
      <c r="Z281" s="47" t="str">
        <f aca="false">IF(COUNT(U281:X281)=0,"",SUM(U281:X281))</f>
        <v/>
      </c>
      <c r="AA281" s="48" t="str">
        <f aca="false">IF(OR(Z281="",N(T281)=0),"",Z281/T281)</f>
        <v/>
      </c>
      <c r="AB281" s="45"/>
      <c r="AC281" s="51" t="str">
        <f aca="false">IF(A281="","",A281+N(C281)+ROW()/10^7)</f>
        <v/>
      </c>
      <c r="AD281" s="51" t="str">
        <f aca="false">IF(A281="","",TEXT(A281,"0")&amp;"|"&amp;COUNTIFS('Content Log'!$A$5:$A$504,A281,'Content Log'!$AC$5:$AC$504,"&lt;="&amp;AC281))</f>
        <v/>
      </c>
      <c r="AE281" s="51" t="str">
        <f aca="false">IF(A281="","",IFERROR(INDEX(Setup!$N$9:$N$14,MATCH(O281,Setup!$M$9:$M$14,0))&amp;" ","")&amp;IF(C281="","",TEXT(C281,"h:mm AM/PM")&amp;" ")&amp;D281&amp;IF(H281="",""," · "&amp;H281))</f>
        <v/>
      </c>
      <c r="AF281" s="51" t="str">
        <f aca="false">IF(OR(A281="",AA281=""),"",IF(AND(A281&gt;=Dashboard!$G$4,A281&lt;=Dashboard!$I$4),AA281+ROW()/10^9,""))</f>
        <v/>
      </c>
      <c r="AG281" s="51" t="str">
        <f aca="false">IF(A281="","",WEEKDAY(A281,2))</f>
        <v/>
      </c>
    </row>
    <row r="282" customFormat="false" ht="15" hidden="false" customHeight="false" outlineLevel="0" collapsed="false">
      <c r="A282" s="43"/>
      <c r="B282" s="11" t="str">
        <f aca="false">IF(A282="","",TEXT(A282,"ddd"))</f>
        <v/>
      </c>
      <c r="C282" s="44"/>
      <c r="D282" s="16"/>
      <c r="E282" s="16"/>
      <c r="F282" s="16"/>
      <c r="G282" s="16"/>
      <c r="H282" s="45"/>
      <c r="I282" s="45"/>
      <c r="J282" s="11" t="str">
        <f aca="false">IF(I282="","",LEN(I282))</f>
        <v/>
      </c>
      <c r="K282" s="16"/>
      <c r="L282" s="16"/>
      <c r="M282" s="11" t="str">
        <f aca="false">IF(L282="","",IFERROR(INDEX('Hashtag Bank'!$E$5:$E$104,MATCH(L282,'Hashtag Bank'!$B$5:$B$104,0)),""))</f>
        <v/>
      </c>
      <c r="N282" s="16"/>
      <c r="O282" s="16"/>
      <c r="P282" s="16"/>
      <c r="Q282" s="46" t="str">
        <f aca="true">IF(A282&amp;H282="","",TRIM(IF(AND(A282&lt;&gt;"",A282&lt;TODAY(),O282&lt;&gt;"Published",O282&lt;&gt;"Repurpose"),"⚠ Overdue ","")&amp;IF(AND(J282&lt;&gt;"",D282&lt;&gt;"",IFERROR(J282&gt;INDEX(Setup!$E$9:$E$18,MATCH(D282,Setup!$B$9:$B$18,0)),FALSE())),"✂ Caption too long ","")&amp;IF(AND(M282&lt;&gt;"",D282&lt;&gt;"",IFERROR(M282&gt;INDEX(Setup!$F$9:$F$18,MATCH(D282,Setup!$B$9:$B$18,0)),FALSE())),"# Too many tags","")))</f>
        <v/>
      </c>
      <c r="R282" s="16"/>
      <c r="S282" s="19"/>
      <c r="T282" s="19"/>
      <c r="U282" s="19"/>
      <c r="V282" s="19"/>
      <c r="W282" s="19"/>
      <c r="X282" s="19"/>
      <c r="Y282" s="19"/>
      <c r="Z282" s="47" t="str">
        <f aca="false">IF(COUNT(U282:X282)=0,"",SUM(U282:X282))</f>
        <v/>
      </c>
      <c r="AA282" s="48" t="str">
        <f aca="false">IF(OR(Z282="",N(T282)=0),"",Z282/T282)</f>
        <v/>
      </c>
      <c r="AB282" s="45"/>
      <c r="AC282" s="51" t="str">
        <f aca="false">IF(A282="","",A282+N(C282)+ROW()/10^7)</f>
        <v/>
      </c>
      <c r="AD282" s="51" t="str">
        <f aca="false">IF(A282="","",TEXT(A282,"0")&amp;"|"&amp;COUNTIFS('Content Log'!$A$5:$A$504,A282,'Content Log'!$AC$5:$AC$504,"&lt;="&amp;AC282))</f>
        <v/>
      </c>
      <c r="AE282" s="51" t="str">
        <f aca="false">IF(A282="","",IFERROR(INDEX(Setup!$N$9:$N$14,MATCH(O282,Setup!$M$9:$M$14,0))&amp;" ","")&amp;IF(C282="","",TEXT(C282,"h:mm AM/PM")&amp;" ")&amp;D282&amp;IF(H282="",""," · "&amp;H282))</f>
        <v/>
      </c>
      <c r="AF282" s="51" t="str">
        <f aca="false">IF(OR(A282="",AA282=""),"",IF(AND(A282&gt;=Dashboard!$G$4,A282&lt;=Dashboard!$I$4),AA282+ROW()/10^9,""))</f>
        <v/>
      </c>
      <c r="AG282" s="51" t="str">
        <f aca="false">IF(A282="","",WEEKDAY(A282,2))</f>
        <v/>
      </c>
    </row>
    <row r="283" customFormat="false" ht="15" hidden="false" customHeight="false" outlineLevel="0" collapsed="false">
      <c r="A283" s="43"/>
      <c r="B283" s="11" t="str">
        <f aca="false">IF(A283="","",TEXT(A283,"ddd"))</f>
        <v/>
      </c>
      <c r="C283" s="44"/>
      <c r="D283" s="16"/>
      <c r="E283" s="16"/>
      <c r="F283" s="16"/>
      <c r="G283" s="16"/>
      <c r="H283" s="45"/>
      <c r="I283" s="45"/>
      <c r="J283" s="11" t="str">
        <f aca="false">IF(I283="","",LEN(I283))</f>
        <v/>
      </c>
      <c r="K283" s="16"/>
      <c r="L283" s="16"/>
      <c r="M283" s="11" t="str">
        <f aca="false">IF(L283="","",IFERROR(INDEX('Hashtag Bank'!$E$5:$E$104,MATCH(L283,'Hashtag Bank'!$B$5:$B$104,0)),""))</f>
        <v/>
      </c>
      <c r="N283" s="16"/>
      <c r="O283" s="16"/>
      <c r="P283" s="16"/>
      <c r="Q283" s="46" t="str">
        <f aca="true">IF(A283&amp;H283="","",TRIM(IF(AND(A283&lt;&gt;"",A283&lt;TODAY(),O283&lt;&gt;"Published",O283&lt;&gt;"Repurpose"),"⚠ Overdue ","")&amp;IF(AND(J283&lt;&gt;"",D283&lt;&gt;"",IFERROR(J283&gt;INDEX(Setup!$E$9:$E$18,MATCH(D283,Setup!$B$9:$B$18,0)),FALSE())),"✂ Caption too long ","")&amp;IF(AND(M283&lt;&gt;"",D283&lt;&gt;"",IFERROR(M283&gt;INDEX(Setup!$F$9:$F$18,MATCH(D283,Setup!$B$9:$B$18,0)),FALSE())),"# Too many tags","")))</f>
        <v/>
      </c>
      <c r="R283" s="16"/>
      <c r="S283" s="19"/>
      <c r="T283" s="19"/>
      <c r="U283" s="19"/>
      <c r="V283" s="19"/>
      <c r="W283" s="19"/>
      <c r="X283" s="19"/>
      <c r="Y283" s="19"/>
      <c r="Z283" s="47" t="str">
        <f aca="false">IF(COUNT(U283:X283)=0,"",SUM(U283:X283))</f>
        <v/>
      </c>
      <c r="AA283" s="48" t="str">
        <f aca="false">IF(OR(Z283="",N(T283)=0),"",Z283/T283)</f>
        <v/>
      </c>
      <c r="AB283" s="45"/>
      <c r="AC283" s="51" t="str">
        <f aca="false">IF(A283="","",A283+N(C283)+ROW()/10^7)</f>
        <v/>
      </c>
      <c r="AD283" s="51" t="str">
        <f aca="false">IF(A283="","",TEXT(A283,"0")&amp;"|"&amp;COUNTIFS('Content Log'!$A$5:$A$504,A283,'Content Log'!$AC$5:$AC$504,"&lt;="&amp;AC283))</f>
        <v/>
      </c>
      <c r="AE283" s="51" t="str">
        <f aca="false">IF(A283="","",IFERROR(INDEX(Setup!$N$9:$N$14,MATCH(O283,Setup!$M$9:$M$14,0))&amp;" ","")&amp;IF(C283="","",TEXT(C283,"h:mm AM/PM")&amp;" ")&amp;D283&amp;IF(H283="",""," · "&amp;H283))</f>
        <v/>
      </c>
      <c r="AF283" s="51" t="str">
        <f aca="false">IF(OR(A283="",AA283=""),"",IF(AND(A283&gt;=Dashboard!$G$4,A283&lt;=Dashboard!$I$4),AA283+ROW()/10^9,""))</f>
        <v/>
      </c>
      <c r="AG283" s="51" t="str">
        <f aca="false">IF(A283="","",WEEKDAY(A283,2))</f>
        <v/>
      </c>
    </row>
    <row r="284" customFormat="false" ht="15" hidden="false" customHeight="false" outlineLevel="0" collapsed="false">
      <c r="A284" s="43"/>
      <c r="B284" s="11" t="str">
        <f aca="false">IF(A284="","",TEXT(A284,"ddd"))</f>
        <v/>
      </c>
      <c r="C284" s="44"/>
      <c r="D284" s="16"/>
      <c r="E284" s="16"/>
      <c r="F284" s="16"/>
      <c r="G284" s="16"/>
      <c r="H284" s="45"/>
      <c r="I284" s="45"/>
      <c r="J284" s="11" t="str">
        <f aca="false">IF(I284="","",LEN(I284))</f>
        <v/>
      </c>
      <c r="K284" s="16"/>
      <c r="L284" s="16"/>
      <c r="M284" s="11" t="str">
        <f aca="false">IF(L284="","",IFERROR(INDEX('Hashtag Bank'!$E$5:$E$104,MATCH(L284,'Hashtag Bank'!$B$5:$B$104,0)),""))</f>
        <v/>
      </c>
      <c r="N284" s="16"/>
      <c r="O284" s="16"/>
      <c r="P284" s="16"/>
      <c r="Q284" s="46" t="str">
        <f aca="true">IF(A284&amp;H284="","",TRIM(IF(AND(A284&lt;&gt;"",A284&lt;TODAY(),O284&lt;&gt;"Published",O284&lt;&gt;"Repurpose"),"⚠ Overdue ","")&amp;IF(AND(J284&lt;&gt;"",D284&lt;&gt;"",IFERROR(J284&gt;INDEX(Setup!$E$9:$E$18,MATCH(D284,Setup!$B$9:$B$18,0)),FALSE())),"✂ Caption too long ","")&amp;IF(AND(M284&lt;&gt;"",D284&lt;&gt;"",IFERROR(M284&gt;INDEX(Setup!$F$9:$F$18,MATCH(D284,Setup!$B$9:$B$18,0)),FALSE())),"# Too many tags","")))</f>
        <v/>
      </c>
      <c r="R284" s="16"/>
      <c r="S284" s="19"/>
      <c r="T284" s="19"/>
      <c r="U284" s="19"/>
      <c r="V284" s="19"/>
      <c r="W284" s="19"/>
      <c r="X284" s="19"/>
      <c r="Y284" s="19"/>
      <c r="Z284" s="47" t="str">
        <f aca="false">IF(COUNT(U284:X284)=0,"",SUM(U284:X284))</f>
        <v/>
      </c>
      <c r="AA284" s="48" t="str">
        <f aca="false">IF(OR(Z284="",N(T284)=0),"",Z284/T284)</f>
        <v/>
      </c>
      <c r="AB284" s="45"/>
      <c r="AC284" s="51" t="str">
        <f aca="false">IF(A284="","",A284+N(C284)+ROW()/10^7)</f>
        <v/>
      </c>
      <c r="AD284" s="51" t="str">
        <f aca="false">IF(A284="","",TEXT(A284,"0")&amp;"|"&amp;COUNTIFS('Content Log'!$A$5:$A$504,A284,'Content Log'!$AC$5:$AC$504,"&lt;="&amp;AC284))</f>
        <v/>
      </c>
      <c r="AE284" s="51" t="str">
        <f aca="false">IF(A284="","",IFERROR(INDEX(Setup!$N$9:$N$14,MATCH(O284,Setup!$M$9:$M$14,0))&amp;" ","")&amp;IF(C284="","",TEXT(C284,"h:mm AM/PM")&amp;" ")&amp;D284&amp;IF(H284="",""," · "&amp;H284))</f>
        <v/>
      </c>
      <c r="AF284" s="51" t="str">
        <f aca="false">IF(OR(A284="",AA284=""),"",IF(AND(A284&gt;=Dashboard!$G$4,A284&lt;=Dashboard!$I$4),AA284+ROW()/10^9,""))</f>
        <v/>
      </c>
      <c r="AG284" s="51" t="str">
        <f aca="false">IF(A284="","",WEEKDAY(A284,2))</f>
        <v/>
      </c>
    </row>
    <row r="285" customFormat="false" ht="15" hidden="false" customHeight="false" outlineLevel="0" collapsed="false">
      <c r="A285" s="43"/>
      <c r="B285" s="11" t="str">
        <f aca="false">IF(A285="","",TEXT(A285,"ddd"))</f>
        <v/>
      </c>
      <c r="C285" s="44"/>
      <c r="D285" s="16"/>
      <c r="E285" s="16"/>
      <c r="F285" s="16"/>
      <c r="G285" s="16"/>
      <c r="H285" s="45"/>
      <c r="I285" s="45"/>
      <c r="J285" s="11" t="str">
        <f aca="false">IF(I285="","",LEN(I285))</f>
        <v/>
      </c>
      <c r="K285" s="16"/>
      <c r="L285" s="16"/>
      <c r="M285" s="11" t="str">
        <f aca="false">IF(L285="","",IFERROR(INDEX('Hashtag Bank'!$E$5:$E$104,MATCH(L285,'Hashtag Bank'!$B$5:$B$104,0)),""))</f>
        <v/>
      </c>
      <c r="N285" s="16"/>
      <c r="O285" s="16"/>
      <c r="P285" s="16"/>
      <c r="Q285" s="46" t="str">
        <f aca="true">IF(A285&amp;H285="","",TRIM(IF(AND(A285&lt;&gt;"",A285&lt;TODAY(),O285&lt;&gt;"Published",O285&lt;&gt;"Repurpose"),"⚠ Overdue ","")&amp;IF(AND(J285&lt;&gt;"",D285&lt;&gt;"",IFERROR(J285&gt;INDEX(Setup!$E$9:$E$18,MATCH(D285,Setup!$B$9:$B$18,0)),FALSE())),"✂ Caption too long ","")&amp;IF(AND(M285&lt;&gt;"",D285&lt;&gt;"",IFERROR(M285&gt;INDEX(Setup!$F$9:$F$18,MATCH(D285,Setup!$B$9:$B$18,0)),FALSE())),"# Too many tags","")))</f>
        <v/>
      </c>
      <c r="R285" s="16"/>
      <c r="S285" s="19"/>
      <c r="T285" s="19"/>
      <c r="U285" s="19"/>
      <c r="V285" s="19"/>
      <c r="W285" s="19"/>
      <c r="X285" s="19"/>
      <c r="Y285" s="19"/>
      <c r="Z285" s="47" t="str">
        <f aca="false">IF(COUNT(U285:X285)=0,"",SUM(U285:X285))</f>
        <v/>
      </c>
      <c r="AA285" s="48" t="str">
        <f aca="false">IF(OR(Z285="",N(T285)=0),"",Z285/T285)</f>
        <v/>
      </c>
      <c r="AB285" s="45"/>
      <c r="AC285" s="51" t="str">
        <f aca="false">IF(A285="","",A285+N(C285)+ROW()/10^7)</f>
        <v/>
      </c>
      <c r="AD285" s="51" t="str">
        <f aca="false">IF(A285="","",TEXT(A285,"0")&amp;"|"&amp;COUNTIFS('Content Log'!$A$5:$A$504,A285,'Content Log'!$AC$5:$AC$504,"&lt;="&amp;AC285))</f>
        <v/>
      </c>
      <c r="AE285" s="51" t="str">
        <f aca="false">IF(A285="","",IFERROR(INDEX(Setup!$N$9:$N$14,MATCH(O285,Setup!$M$9:$M$14,0))&amp;" ","")&amp;IF(C285="","",TEXT(C285,"h:mm AM/PM")&amp;" ")&amp;D285&amp;IF(H285="",""," · "&amp;H285))</f>
        <v/>
      </c>
      <c r="AF285" s="51" t="str">
        <f aca="false">IF(OR(A285="",AA285=""),"",IF(AND(A285&gt;=Dashboard!$G$4,A285&lt;=Dashboard!$I$4),AA285+ROW()/10^9,""))</f>
        <v/>
      </c>
      <c r="AG285" s="51" t="str">
        <f aca="false">IF(A285="","",WEEKDAY(A285,2))</f>
        <v/>
      </c>
    </row>
    <row r="286" customFormat="false" ht="15" hidden="false" customHeight="false" outlineLevel="0" collapsed="false">
      <c r="A286" s="43"/>
      <c r="B286" s="11" t="str">
        <f aca="false">IF(A286="","",TEXT(A286,"ddd"))</f>
        <v/>
      </c>
      <c r="C286" s="44"/>
      <c r="D286" s="16"/>
      <c r="E286" s="16"/>
      <c r="F286" s="16"/>
      <c r="G286" s="16"/>
      <c r="H286" s="45"/>
      <c r="I286" s="45"/>
      <c r="J286" s="11" t="str">
        <f aca="false">IF(I286="","",LEN(I286))</f>
        <v/>
      </c>
      <c r="K286" s="16"/>
      <c r="L286" s="16"/>
      <c r="M286" s="11" t="str">
        <f aca="false">IF(L286="","",IFERROR(INDEX('Hashtag Bank'!$E$5:$E$104,MATCH(L286,'Hashtag Bank'!$B$5:$B$104,0)),""))</f>
        <v/>
      </c>
      <c r="N286" s="16"/>
      <c r="O286" s="16"/>
      <c r="P286" s="16"/>
      <c r="Q286" s="46" t="str">
        <f aca="true">IF(A286&amp;H286="","",TRIM(IF(AND(A286&lt;&gt;"",A286&lt;TODAY(),O286&lt;&gt;"Published",O286&lt;&gt;"Repurpose"),"⚠ Overdue ","")&amp;IF(AND(J286&lt;&gt;"",D286&lt;&gt;"",IFERROR(J286&gt;INDEX(Setup!$E$9:$E$18,MATCH(D286,Setup!$B$9:$B$18,0)),FALSE())),"✂ Caption too long ","")&amp;IF(AND(M286&lt;&gt;"",D286&lt;&gt;"",IFERROR(M286&gt;INDEX(Setup!$F$9:$F$18,MATCH(D286,Setup!$B$9:$B$18,0)),FALSE())),"# Too many tags","")))</f>
        <v/>
      </c>
      <c r="R286" s="16"/>
      <c r="S286" s="19"/>
      <c r="T286" s="19"/>
      <c r="U286" s="19"/>
      <c r="V286" s="19"/>
      <c r="W286" s="19"/>
      <c r="X286" s="19"/>
      <c r="Y286" s="19"/>
      <c r="Z286" s="47" t="str">
        <f aca="false">IF(COUNT(U286:X286)=0,"",SUM(U286:X286))</f>
        <v/>
      </c>
      <c r="AA286" s="48" t="str">
        <f aca="false">IF(OR(Z286="",N(T286)=0),"",Z286/T286)</f>
        <v/>
      </c>
      <c r="AB286" s="45"/>
      <c r="AC286" s="51" t="str">
        <f aca="false">IF(A286="","",A286+N(C286)+ROW()/10^7)</f>
        <v/>
      </c>
      <c r="AD286" s="51" t="str">
        <f aca="false">IF(A286="","",TEXT(A286,"0")&amp;"|"&amp;COUNTIFS('Content Log'!$A$5:$A$504,A286,'Content Log'!$AC$5:$AC$504,"&lt;="&amp;AC286))</f>
        <v/>
      </c>
      <c r="AE286" s="51" t="str">
        <f aca="false">IF(A286="","",IFERROR(INDEX(Setup!$N$9:$N$14,MATCH(O286,Setup!$M$9:$M$14,0))&amp;" ","")&amp;IF(C286="","",TEXT(C286,"h:mm AM/PM")&amp;" ")&amp;D286&amp;IF(H286="",""," · "&amp;H286))</f>
        <v/>
      </c>
      <c r="AF286" s="51" t="str">
        <f aca="false">IF(OR(A286="",AA286=""),"",IF(AND(A286&gt;=Dashboard!$G$4,A286&lt;=Dashboard!$I$4),AA286+ROW()/10^9,""))</f>
        <v/>
      </c>
      <c r="AG286" s="51" t="str">
        <f aca="false">IF(A286="","",WEEKDAY(A286,2))</f>
        <v/>
      </c>
    </row>
    <row r="287" customFormat="false" ht="15" hidden="false" customHeight="false" outlineLevel="0" collapsed="false">
      <c r="A287" s="43"/>
      <c r="B287" s="11" t="str">
        <f aca="false">IF(A287="","",TEXT(A287,"ddd"))</f>
        <v/>
      </c>
      <c r="C287" s="44"/>
      <c r="D287" s="16"/>
      <c r="E287" s="16"/>
      <c r="F287" s="16"/>
      <c r="G287" s="16"/>
      <c r="H287" s="45"/>
      <c r="I287" s="45"/>
      <c r="J287" s="11" t="str">
        <f aca="false">IF(I287="","",LEN(I287))</f>
        <v/>
      </c>
      <c r="K287" s="16"/>
      <c r="L287" s="16"/>
      <c r="M287" s="11" t="str">
        <f aca="false">IF(L287="","",IFERROR(INDEX('Hashtag Bank'!$E$5:$E$104,MATCH(L287,'Hashtag Bank'!$B$5:$B$104,0)),""))</f>
        <v/>
      </c>
      <c r="N287" s="16"/>
      <c r="O287" s="16"/>
      <c r="P287" s="16"/>
      <c r="Q287" s="46" t="str">
        <f aca="true">IF(A287&amp;H287="","",TRIM(IF(AND(A287&lt;&gt;"",A287&lt;TODAY(),O287&lt;&gt;"Published",O287&lt;&gt;"Repurpose"),"⚠ Overdue ","")&amp;IF(AND(J287&lt;&gt;"",D287&lt;&gt;"",IFERROR(J287&gt;INDEX(Setup!$E$9:$E$18,MATCH(D287,Setup!$B$9:$B$18,0)),FALSE())),"✂ Caption too long ","")&amp;IF(AND(M287&lt;&gt;"",D287&lt;&gt;"",IFERROR(M287&gt;INDEX(Setup!$F$9:$F$18,MATCH(D287,Setup!$B$9:$B$18,0)),FALSE())),"# Too many tags","")))</f>
        <v/>
      </c>
      <c r="R287" s="16"/>
      <c r="S287" s="19"/>
      <c r="T287" s="19"/>
      <c r="U287" s="19"/>
      <c r="V287" s="19"/>
      <c r="W287" s="19"/>
      <c r="X287" s="19"/>
      <c r="Y287" s="19"/>
      <c r="Z287" s="47" t="str">
        <f aca="false">IF(COUNT(U287:X287)=0,"",SUM(U287:X287))</f>
        <v/>
      </c>
      <c r="AA287" s="48" t="str">
        <f aca="false">IF(OR(Z287="",N(T287)=0),"",Z287/T287)</f>
        <v/>
      </c>
      <c r="AB287" s="45"/>
      <c r="AC287" s="51" t="str">
        <f aca="false">IF(A287="","",A287+N(C287)+ROW()/10^7)</f>
        <v/>
      </c>
      <c r="AD287" s="51" t="str">
        <f aca="false">IF(A287="","",TEXT(A287,"0")&amp;"|"&amp;COUNTIFS('Content Log'!$A$5:$A$504,A287,'Content Log'!$AC$5:$AC$504,"&lt;="&amp;AC287))</f>
        <v/>
      </c>
      <c r="AE287" s="51" t="str">
        <f aca="false">IF(A287="","",IFERROR(INDEX(Setup!$N$9:$N$14,MATCH(O287,Setup!$M$9:$M$14,0))&amp;" ","")&amp;IF(C287="","",TEXT(C287,"h:mm AM/PM")&amp;" ")&amp;D287&amp;IF(H287="",""," · "&amp;H287))</f>
        <v/>
      </c>
      <c r="AF287" s="51" t="str">
        <f aca="false">IF(OR(A287="",AA287=""),"",IF(AND(A287&gt;=Dashboard!$G$4,A287&lt;=Dashboard!$I$4),AA287+ROW()/10^9,""))</f>
        <v/>
      </c>
      <c r="AG287" s="51" t="str">
        <f aca="false">IF(A287="","",WEEKDAY(A287,2))</f>
        <v/>
      </c>
    </row>
    <row r="288" customFormat="false" ht="15" hidden="false" customHeight="false" outlineLevel="0" collapsed="false">
      <c r="A288" s="43"/>
      <c r="B288" s="11" t="str">
        <f aca="false">IF(A288="","",TEXT(A288,"ddd"))</f>
        <v/>
      </c>
      <c r="C288" s="44"/>
      <c r="D288" s="16"/>
      <c r="E288" s="16"/>
      <c r="F288" s="16"/>
      <c r="G288" s="16"/>
      <c r="H288" s="45"/>
      <c r="I288" s="45"/>
      <c r="J288" s="11" t="str">
        <f aca="false">IF(I288="","",LEN(I288))</f>
        <v/>
      </c>
      <c r="K288" s="16"/>
      <c r="L288" s="16"/>
      <c r="M288" s="11" t="str">
        <f aca="false">IF(L288="","",IFERROR(INDEX('Hashtag Bank'!$E$5:$E$104,MATCH(L288,'Hashtag Bank'!$B$5:$B$104,0)),""))</f>
        <v/>
      </c>
      <c r="N288" s="16"/>
      <c r="O288" s="16"/>
      <c r="P288" s="16"/>
      <c r="Q288" s="46" t="str">
        <f aca="true">IF(A288&amp;H288="","",TRIM(IF(AND(A288&lt;&gt;"",A288&lt;TODAY(),O288&lt;&gt;"Published",O288&lt;&gt;"Repurpose"),"⚠ Overdue ","")&amp;IF(AND(J288&lt;&gt;"",D288&lt;&gt;"",IFERROR(J288&gt;INDEX(Setup!$E$9:$E$18,MATCH(D288,Setup!$B$9:$B$18,0)),FALSE())),"✂ Caption too long ","")&amp;IF(AND(M288&lt;&gt;"",D288&lt;&gt;"",IFERROR(M288&gt;INDEX(Setup!$F$9:$F$18,MATCH(D288,Setup!$B$9:$B$18,0)),FALSE())),"# Too many tags","")))</f>
        <v/>
      </c>
      <c r="R288" s="16"/>
      <c r="S288" s="19"/>
      <c r="T288" s="19"/>
      <c r="U288" s="19"/>
      <c r="V288" s="19"/>
      <c r="W288" s="19"/>
      <c r="X288" s="19"/>
      <c r="Y288" s="19"/>
      <c r="Z288" s="47" t="str">
        <f aca="false">IF(COUNT(U288:X288)=0,"",SUM(U288:X288))</f>
        <v/>
      </c>
      <c r="AA288" s="48" t="str">
        <f aca="false">IF(OR(Z288="",N(T288)=0),"",Z288/T288)</f>
        <v/>
      </c>
      <c r="AB288" s="45"/>
      <c r="AC288" s="51" t="str">
        <f aca="false">IF(A288="","",A288+N(C288)+ROW()/10^7)</f>
        <v/>
      </c>
      <c r="AD288" s="51" t="str">
        <f aca="false">IF(A288="","",TEXT(A288,"0")&amp;"|"&amp;COUNTIFS('Content Log'!$A$5:$A$504,A288,'Content Log'!$AC$5:$AC$504,"&lt;="&amp;AC288))</f>
        <v/>
      </c>
      <c r="AE288" s="51" t="str">
        <f aca="false">IF(A288="","",IFERROR(INDEX(Setup!$N$9:$N$14,MATCH(O288,Setup!$M$9:$M$14,0))&amp;" ","")&amp;IF(C288="","",TEXT(C288,"h:mm AM/PM")&amp;" ")&amp;D288&amp;IF(H288="",""," · "&amp;H288))</f>
        <v/>
      </c>
      <c r="AF288" s="51" t="str">
        <f aca="false">IF(OR(A288="",AA288=""),"",IF(AND(A288&gt;=Dashboard!$G$4,A288&lt;=Dashboard!$I$4),AA288+ROW()/10^9,""))</f>
        <v/>
      </c>
      <c r="AG288" s="51" t="str">
        <f aca="false">IF(A288="","",WEEKDAY(A288,2))</f>
        <v/>
      </c>
    </row>
    <row r="289" customFormat="false" ht="15" hidden="false" customHeight="false" outlineLevel="0" collapsed="false">
      <c r="A289" s="43"/>
      <c r="B289" s="11" t="str">
        <f aca="false">IF(A289="","",TEXT(A289,"ddd"))</f>
        <v/>
      </c>
      <c r="C289" s="44"/>
      <c r="D289" s="16"/>
      <c r="E289" s="16"/>
      <c r="F289" s="16"/>
      <c r="G289" s="16"/>
      <c r="H289" s="45"/>
      <c r="I289" s="45"/>
      <c r="J289" s="11" t="str">
        <f aca="false">IF(I289="","",LEN(I289))</f>
        <v/>
      </c>
      <c r="K289" s="16"/>
      <c r="L289" s="16"/>
      <c r="M289" s="11" t="str">
        <f aca="false">IF(L289="","",IFERROR(INDEX('Hashtag Bank'!$E$5:$E$104,MATCH(L289,'Hashtag Bank'!$B$5:$B$104,0)),""))</f>
        <v/>
      </c>
      <c r="N289" s="16"/>
      <c r="O289" s="16"/>
      <c r="P289" s="16"/>
      <c r="Q289" s="46" t="str">
        <f aca="true">IF(A289&amp;H289="","",TRIM(IF(AND(A289&lt;&gt;"",A289&lt;TODAY(),O289&lt;&gt;"Published",O289&lt;&gt;"Repurpose"),"⚠ Overdue ","")&amp;IF(AND(J289&lt;&gt;"",D289&lt;&gt;"",IFERROR(J289&gt;INDEX(Setup!$E$9:$E$18,MATCH(D289,Setup!$B$9:$B$18,0)),FALSE())),"✂ Caption too long ","")&amp;IF(AND(M289&lt;&gt;"",D289&lt;&gt;"",IFERROR(M289&gt;INDEX(Setup!$F$9:$F$18,MATCH(D289,Setup!$B$9:$B$18,0)),FALSE())),"# Too many tags","")))</f>
        <v/>
      </c>
      <c r="R289" s="16"/>
      <c r="S289" s="19"/>
      <c r="T289" s="19"/>
      <c r="U289" s="19"/>
      <c r="V289" s="19"/>
      <c r="W289" s="19"/>
      <c r="X289" s="19"/>
      <c r="Y289" s="19"/>
      <c r="Z289" s="47" t="str">
        <f aca="false">IF(COUNT(U289:X289)=0,"",SUM(U289:X289))</f>
        <v/>
      </c>
      <c r="AA289" s="48" t="str">
        <f aca="false">IF(OR(Z289="",N(T289)=0),"",Z289/T289)</f>
        <v/>
      </c>
      <c r="AB289" s="45"/>
      <c r="AC289" s="51" t="str">
        <f aca="false">IF(A289="","",A289+N(C289)+ROW()/10^7)</f>
        <v/>
      </c>
      <c r="AD289" s="51" t="str">
        <f aca="false">IF(A289="","",TEXT(A289,"0")&amp;"|"&amp;COUNTIFS('Content Log'!$A$5:$A$504,A289,'Content Log'!$AC$5:$AC$504,"&lt;="&amp;AC289))</f>
        <v/>
      </c>
      <c r="AE289" s="51" t="str">
        <f aca="false">IF(A289="","",IFERROR(INDEX(Setup!$N$9:$N$14,MATCH(O289,Setup!$M$9:$M$14,0))&amp;" ","")&amp;IF(C289="","",TEXT(C289,"h:mm AM/PM")&amp;" ")&amp;D289&amp;IF(H289="",""," · "&amp;H289))</f>
        <v/>
      </c>
      <c r="AF289" s="51" t="str">
        <f aca="false">IF(OR(A289="",AA289=""),"",IF(AND(A289&gt;=Dashboard!$G$4,A289&lt;=Dashboard!$I$4),AA289+ROW()/10^9,""))</f>
        <v/>
      </c>
      <c r="AG289" s="51" t="str">
        <f aca="false">IF(A289="","",WEEKDAY(A289,2))</f>
        <v/>
      </c>
    </row>
    <row r="290" customFormat="false" ht="15" hidden="false" customHeight="false" outlineLevel="0" collapsed="false">
      <c r="A290" s="43"/>
      <c r="B290" s="11" t="str">
        <f aca="false">IF(A290="","",TEXT(A290,"ddd"))</f>
        <v/>
      </c>
      <c r="C290" s="44"/>
      <c r="D290" s="16"/>
      <c r="E290" s="16"/>
      <c r="F290" s="16"/>
      <c r="G290" s="16"/>
      <c r="H290" s="45"/>
      <c r="I290" s="45"/>
      <c r="J290" s="11" t="str">
        <f aca="false">IF(I290="","",LEN(I290))</f>
        <v/>
      </c>
      <c r="K290" s="16"/>
      <c r="L290" s="16"/>
      <c r="M290" s="11" t="str">
        <f aca="false">IF(L290="","",IFERROR(INDEX('Hashtag Bank'!$E$5:$E$104,MATCH(L290,'Hashtag Bank'!$B$5:$B$104,0)),""))</f>
        <v/>
      </c>
      <c r="N290" s="16"/>
      <c r="O290" s="16"/>
      <c r="P290" s="16"/>
      <c r="Q290" s="46" t="str">
        <f aca="true">IF(A290&amp;H290="","",TRIM(IF(AND(A290&lt;&gt;"",A290&lt;TODAY(),O290&lt;&gt;"Published",O290&lt;&gt;"Repurpose"),"⚠ Overdue ","")&amp;IF(AND(J290&lt;&gt;"",D290&lt;&gt;"",IFERROR(J290&gt;INDEX(Setup!$E$9:$E$18,MATCH(D290,Setup!$B$9:$B$18,0)),FALSE())),"✂ Caption too long ","")&amp;IF(AND(M290&lt;&gt;"",D290&lt;&gt;"",IFERROR(M290&gt;INDEX(Setup!$F$9:$F$18,MATCH(D290,Setup!$B$9:$B$18,0)),FALSE())),"# Too many tags","")))</f>
        <v/>
      </c>
      <c r="R290" s="16"/>
      <c r="S290" s="19"/>
      <c r="T290" s="19"/>
      <c r="U290" s="19"/>
      <c r="V290" s="19"/>
      <c r="W290" s="19"/>
      <c r="X290" s="19"/>
      <c r="Y290" s="19"/>
      <c r="Z290" s="47" t="str">
        <f aca="false">IF(COUNT(U290:X290)=0,"",SUM(U290:X290))</f>
        <v/>
      </c>
      <c r="AA290" s="48" t="str">
        <f aca="false">IF(OR(Z290="",N(T290)=0),"",Z290/T290)</f>
        <v/>
      </c>
      <c r="AB290" s="45"/>
      <c r="AC290" s="51" t="str">
        <f aca="false">IF(A290="","",A290+N(C290)+ROW()/10^7)</f>
        <v/>
      </c>
      <c r="AD290" s="51" t="str">
        <f aca="false">IF(A290="","",TEXT(A290,"0")&amp;"|"&amp;COUNTIFS('Content Log'!$A$5:$A$504,A290,'Content Log'!$AC$5:$AC$504,"&lt;="&amp;AC290))</f>
        <v/>
      </c>
      <c r="AE290" s="51" t="str">
        <f aca="false">IF(A290="","",IFERROR(INDEX(Setup!$N$9:$N$14,MATCH(O290,Setup!$M$9:$M$14,0))&amp;" ","")&amp;IF(C290="","",TEXT(C290,"h:mm AM/PM")&amp;" ")&amp;D290&amp;IF(H290="",""," · "&amp;H290))</f>
        <v/>
      </c>
      <c r="AF290" s="51" t="str">
        <f aca="false">IF(OR(A290="",AA290=""),"",IF(AND(A290&gt;=Dashboard!$G$4,A290&lt;=Dashboard!$I$4),AA290+ROW()/10^9,""))</f>
        <v/>
      </c>
      <c r="AG290" s="51" t="str">
        <f aca="false">IF(A290="","",WEEKDAY(A290,2))</f>
        <v/>
      </c>
    </row>
    <row r="291" customFormat="false" ht="15" hidden="false" customHeight="false" outlineLevel="0" collapsed="false">
      <c r="A291" s="43"/>
      <c r="B291" s="11" t="str">
        <f aca="false">IF(A291="","",TEXT(A291,"ddd"))</f>
        <v/>
      </c>
      <c r="C291" s="44"/>
      <c r="D291" s="16"/>
      <c r="E291" s="16"/>
      <c r="F291" s="16"/>
      <c r="G291" s="16"/>
      <c r="H291" s="45"/>
      <c r="I291" s="45"/>
      <c r="J291" s="11" t="str">
        <f aca="false">IF(I291="","",LEN(I291))</f>
        <v/>
      </c>
      <c r="K291" s="16"/>
      <c r="L291" s="16"/>
      <c r="M291" s="11" t="str">
        <f aca="false">IF(L291="","",IFERROR(INDEX('Hashtag Bank'!$E$5:$E$104,MATCH(L291,'Hashtag Bank'!$B$5:$B$104,0)),""))</f>
        <v/>
      </c>
      <c r="N291" s="16"/>
      <c r="O291" s="16"/>
      <c r="P291" s="16"/>
      <c r="Q291" s="46" t="str">
        <f aca="true">IF(A291&amp;H291="","",TRIM(IF(AND(A291&lt;&gt;"",A291&lt;TODAY(),O291&lt;&gt;"Published",O291&lt;&gt;"Repurpose"),"⚠ Overdue ","")&amp;IF(AND(J291&lt;&gt;"",D291&lt;&gt;"",IFERROR(J291&gt;INDEX(Setup!$E$9:$E$18,MATCH(D291,Setup!$B$9:$B$18,0)),FALSE())),"✂ Caption too long ","")&amp;IF(AND(M291&lt;&gt;"",D291&lt;&gt;"",IFERROR(M291&gt;INDEX(Setup!$F$9:$F$18,MATCH(D291,Setup!$B$9:$B$18,0)),FALSE())),"# Too many tags","")))</f>
        <v/>
      </c>
      <c r="R291" s="16"/>
      <c r="S291" s="19"/>
      <c r="T291" s="19"/>
      <c r="U291" s="19"/>
      <c r="V291" s="19"/>
      <c r="W291" s="19"/>
      <c r="X291" s="19"/>
      <c r="Y291" s="19"/>
      <c r="Z291" s="47" t="str">
        <f aca="false">IF(COUNT(U291:X291)=0,"",SUM(U291:X291))</f>
        <v/>
      </c>
      <c r="AA291" s="48" t="str">
        <f aca="false">IF(OR(Z291="",N(T291)=0),"",Z291/T291)</f>
        <v/>
      </c>
      <c r="AB291" s="45"/>
      <c r="AC291" s="51" t="str">
        <f aca="false">IF(A291="","",A291+N(C291)+ROW()/10^7)</f>
        <v/>
      </c>
      <c r="AD291" s="51" t="str">
        <f aca="false">IF(A291="","",TEXT(A291,"0")&amp;"|"&amp;COUNTIFS('Content Log'!$A$5:$A$504,A291,'Content Log'!$AC$5:$AC$504,"&lt;="&amp;AC291))</f>
        <v/>
      </c>
      <c r="AE291" s="51" t="str">
        <f aca="false">IF(A291="","",IFERROR(INDEX(Setup!$N$9:$N$14,MATCH(O291,Setup!$M$9:$M$14,0))&amp;" ","")&amp;IF(C291="","",TEXT(C291,"h:mm AM/PM")&amp;" ")&amp;D291&amp;IF(H291="",""," · "&amp;H291))</f>
        <v/>
      </c>
      <c r="AF291" s="51" t="str">
        <f aca="false">IF(OR(A291="",AA291=""),"",IF(AND(A291&gt;=Dashboard!$G$4,A291&lt;=Dashboard!$I$4),AA291+ROW()/10^9,""))</f>
        <v/>
      </c>
      <c r="AG291" s="51" t="str">
        <f aca="false">IF(A291="","",WEEKDAY(A291,2))</f>
        <v/>
      </c>
    </row>
    <row r="292" customFormat="false" ht="15" hidden="false" customHeight="false" outlineLevel="0" collapsed="false">
      <c r="A292" s="43"/>
      <c r="B292" s="11" t="str">
        <f aca="false">IF(A292="","",TEXT(A292,"ddd"))</f>
        <v/>
      </c>
      <c r="C292" s="44"/>
      <c r="D292" s="16"/>
      <c r="E292" s="16"/>
      <c r="F292" s="16"/>
      <c r="G292" s="16"/>
      <c r="H292" s="45"/>
      <c r="I292" s="45"/>
      <c r="J292" s="11" t="str">
        <f aca="false">IF(I292="","",LEN(I292))</f>
        <v/>
      </c>
      <c r="K292" s="16"/>
      <c r="L292" s="16"/>
      <c r="M292" s="11" t="str">
        <f aca="false">IF(L292="","",IFERROR(INDEX('Hashtag Bank'!$E$5:$E$104,MATCH(L292,'Hashtag Bank'!$B$5:$B$104,0)),""))</f>
        <v/>
      </c>
      <c r="N292" s="16"/>
      <c r="O292" s="16"/>
      <c r="P292" s="16"/>
      <c r="Q292" s="46" t="str">
        <f aca="true">IF(A292&amp;H292="","",TRIM(IF(AND(A292&lt;&gt;"",A292&lt;TODAY(),O292&lt;&gt;"Published",O292&lt;&gt;"Repurpose"),"⚠ Overdue ","")&amp;IF(AND(J292&lt;&gt;"",D292&lt;&gt;"",IFERROR(J292&gt;INDEX(Setup!$E$9:$E$18,MATCH(D292,Setup!$B$9:$B$18,0)),FALSE())),"✂ Caption too long ","")&amp;IF(AND(M292&lt;&gt;"",D292&lt;&gt;"",IFERROR(M292&gt;INDEX(Setup!$F$9:$F$18,MATCH(D292,Setup!$B$9:$B$18,0)),FALSE())),"# Too many tags","")))</f>
        <v/>
      </c>
      <c r="R292" s="16"/>
      <c r="S292" s="19"/>
      <c r="T292" s="19"/>
      <c r="U292" s="19"/>
      <c r="V292" s="19"/>
      <c r="W292" s="19"/>
      <c r="X292" s="19"/>
      <c r="Y292" s="19"/>
      <c r="Z292" s="47" t="str">
        <f aca="false">IF(COUNT(U292:X292)=0,"",SUM(U292:X292))</f>
        <v/>
      </c>
      <c r="AA292" s="48" t="str">
        <f aca="false">IF(OR(Z292="",N(T292)=0),"",Z292/T292)</f>
        <v/>
      </c>
      <c r="AB292" s="45"/>
      <c r="AC292" s="51" t="str">
        <f aca="false">IF(A292="","",A292+N(C292)+ROW()/10^7)</f>
        <v/>
      </c>
      <c r="AD292" s="51" t="str">
        <f aca="false">IF(A292="","",TEXT(A292,"0")&amp;"|"&amp;COUNTIFS('Content Log'!$A$5:$A$504,A292,'Content Log'!$AC$5:$AC$504,"&lt;="&amp;AC292))</f>
        <v/>
      </c>
      <c r="AE292" s="51" t="str">
        <f aca="false">IF(A292="","",IFERROR(INDEX(Setup!$N$9:$N$14,MATCH(O292,Setup!$M$9:$M$14,0))&amp;" ","")&amp;IF(C292="","",TEXT(C292,"h:mm AM/PM")&amp;" ")&amp;D292&amp;IF(H292="",""," · "&amp;H292))</f>
        <v/>
      </c>
      <c r="AF292" s="51" t="str">
        <f aca="false">IF(OR(A292="",AA292=""),"",IF(AND(A292&gt;=Dashboard!$G$4,A292&lt;=Dashboard!$I$4),AA292+ROW()/10^9,""))</f>
        <v/>
      </c>
      <c r="AG292" s="51" t="str">
        <f aca="false">IF(A292="","",WEEKDAY(A292,2))</f>
        <v/>
      </c>
    </row>
    <row r="293" customFormat="false" ht="15" hidden="false" customHeight="false" outlineLevel="0" collapsed="false">
      <c r="A293" s="43"/>
      <c r="B293" s="11" t="str">
        <f aca="false">IF(A293="","",TEXT(A293,"ddd"))</f>
        <v/>
      </c>
      <c r="C293" s="44"/>
      <c r="D293" s="16"/>
      <c r="E293" s="16"/>
      <c r="F293" s="16"/>
      <c r="G293" s="16"/>
      <c r="H293" s="45"/>
      <c r="I293" s="45"/>
      <c r="J293" s="11" t="str">
        <f aca="false">IF(I293="","",LEN(I293))</f>
        <v/>
      </c>
      <c r="K293" s="16"/>
      <c r="L293" s="16"/>
      <c r="M293" s="11" t="str">
        <f aca="false">IF(L293="","",IFERROR(INDEX('Hashtag Bank'!$E$5:$E$104,MATCH(L293,'Hashtag Bank'!$B$5:$B$104,0)),""))</f>
        <v/>
      </c>
      <c r="N293" s="16"/>
      <c r="O293" s="16"/>
      <c r="P293" s="16"/>
      <c r="Q293" s="46" t="str">
        <f aca="true">IF(A293&amp;H293="","",TRIM(IF(AND(A293&lt;&gt;"",A293&lt;TODAY(),O293&lt;&gt;"Published",O293&lt;&gt;"Repurpose"),"⚠ Overdue ","")&amp;IF(AND(J293&lt;&gt;"",D293&lt;&gt;"",IFERROR(J293&gt;INDEX(Setup!$E$9:$E$18,MATCH(D293,Setup!$B$9:$B$18,0)),FALSE())),"✂ Caption too long ","")&amp;IF(AND(M293&lt;&gt;"",D293&lt;&gt;"",IFERROR(M293&gt;INDEX(Setup!$F$9:$F$18,MATCH(D293,Setup!$B$9:$B$18,0)),FALSE())),"# Too many tags","")))</f>
        <v/>
      </c>
      <c r="R293" s="16"/>
      <c r="S293" s="19"/>
      <c r="T293" s="19"/>
      <c r="U293" s="19"/>
      <c r="V293" s="19"/>
      <c r="W293" s="19"/>
      <c r="X293" s="19"/>
      <c r="Y293" s="19"/>
      <c r="Z293" s="47" t="str">
        <f aca="false">IF(COUNT(U293:X293)=0,"",SUM(U293:X293))</f>
        <v/>
      </c>
      <c r="AA293" s="48" t="str">
        <f aca="false">IF(OR(Z293="",N(T293)=0),"",Z293/T293)</f>
        <v/>
      </c>
      <c r="AB293" s="45"/>
      <c r="AC293" s="51" t="str">
        <f aca="false">IF(A293="","",A293+N(C293)+ROW()/10^7)</f>
        <v/>
      </c>
      <c r="AD293" s="51" t="str">
        <f aca="false">IF(A293="","",TEXT(A293,"0")&amp;"|"&amp;COUNTIFS('Content Log'!$A$5:$A$504,A293,'Content Log'!$AC$5:$AC$504,"&lt;="&amp;AC293))</f>
        <v/>
      </c>
      <c r="AE293" s="51" t="str">
        <f aca="false">IF(A293="","",IFERROR(INDEX(Setup!$N$9:$N$14,MATCH(O293,Setup!$M$9:$M$14,0))&amp;" ","")&amp;IF(C293="","",TEXT(C293,"h:mm AM/PM")&amp;" ")&amp;D293&amp;IF(H293="",""," · "&amp;H293))</f>
        <v/>
      </c>
      <c r="AF293" s="51" t="str">
        <f aca="false">IF(OR(A293="",AA293=""),"",IF(AND(A293&gt;=Dashboard!$G$4,A293&lt;=Dashboard!$I$4),AA293+ROW()/10^9,""))</f>
        <v/>
      </c>
      <c r="AG293" s="51" t="str">
        <f aca="false">IF(A293="","",WEEKDAY(A293,2))</f>
        <v/>
      </c>
    </row>
    <row r="294" customFormat="false" ht="15" hidden="false" customHeight="false" outlineLevel="0" collapsed="false">
      <c r="A294" s="43"/>
      <c r="B294" s="11" t="str">
        <f aca="false">IF(A294="","",TEXT(A294,"ddd"))</f>
        <v/>
      </c>
      <c r="C294" s="44"/>
      <c r="D294" s="16"/>
      <c r="E294" s="16"/>
      <c r="F294" s="16"/>
      <c r="G294" s="16"/>
      <c r="H294" s="45"/>
      <c r="I294" s="45"/>
      <c r="J294" s="11" t="str">
        <f aca="false">IF(I294="","",LEN(I294))</f>
        <v/>
      </c>
      <c r="K294" s="16"/>
      <c r="L294" s="16"/>
      <c r="M294" s="11" t="str">
        <f aca="false">IF(L294="","",IFERROR(INDEX('Hashtag Bank'!$E$5:$E$104,MATCH(L294,'Hashtag Bank'!$B$5:$B$104,0)),""))</f>
        <v/>
      </c>
      <c r="N294" s="16"/>
      <c r="O294" s="16"/>
      <c r="P294" s="16"/>
      <c r="Q294" s="46" t="str">
        <f aca="true">IF(A294&amp;H294="","",TRIM(IF(AND(A294&lt;&gt;"",A294&lt;TODAY(),O294&lt;&gt;"Published",O294&lt;&gt;"Repurpose"),"⚠ Overdue ","")&amp;IF(AND(J294&lt;&gt;"",D294&lt;&gt;"",IFERROR(J294&gt;INDEX(Setup!$E$9:$E$18,MATCH(D294,Setup!$B$9:$B$18,0)),FALSE())),"✂ Caption too long ","")&amp;IF(AND(M294&lt;&gt;"",D294&lt;&gt;"",IFERROR(M294&gt;INDEX(Setup!$F$9:$F$18,MATCH(D294,Setup!$B$9:$B$18,0)),FALSE())),"# Too many tags","")))</f>
        <v/>
      </c>
      <c r="R294" s="16"/>
      <c r="S294" s="19"/>
      <c r="T294" s="19"/>
      <c r="U294" s="19"/>
      <c r="V294" s="19"/>
      <c r="W294" s="19"/>
      <c r="X294" s="19"/>
      <c r="Y294" s="19"/>
      <c r="Z294" s="47" t="str">
        <f aca="false">IF(COUNT(U294:X294)=0,"",SUM(U294:X294))</f>
        <v/>
      </c>
      <c r="AA294" s="48" t="str">
        <f aca="false">IF(OR(Z294="",N(T294)=0),"",Z294/T294)</f>
        <v/>
      </c>
      <c r="AB294" s="45"/>
      <c r="AC294" s="51" t="str">
        <f aca="false">IF(A294="","",A294+N(C294)+ROW()/10^7)</f>
        <v/>
      </c>
      <c r="AD294" s="51" t="str">
        <f aca="false">IF(A294="","",TEXT(A294,"0")&amp;"|"&amp;COUNTIFS('Content Log'!$A$5:$A$504,A294,'Content Log'!$AC$5:$AC$504,"&lt;="&amp;AC294))</f>
        <v/>
      </c>
      <c r="AE294" s="51" t="str">
        <f aca="false">IF(A294="","",IFERROR(INDEX(Setup!$N$9:$N$14,MATCH(O294,Setup!$M$9:$M$14,0))&amp;" ","")&amp;IF(C294="","",TEXT(C294,"h:mm AM/PM")&amp;" ")&amp;D294&amp;IF(H294="",""," · "&amp;H294))</f>
        <v/>
      </c>
      <c r="AF294" s="51" t="str">
        <f aca="false">IF(OR(A294="",AA294=""),"",IF(AND(A294&gt;=Dashboard!$G$4,A294&lt;=Dashboard!$I$4),AA294+ROW()/10^9,""))</f>
        <v/>
      </c>
      <c r="AG294" s="51" t="str">
        <f aca="false">IF(A294="","",WEEKDAY(A294,2))</f>
        <v/>
      </c>
    </row>
    <row r="295" customFormat="false" ht="15" hidden="false" customHeight="false" outlineLevel="0" collapsed="false">
      <c r="A295" s="43"/>
      <c r="B295" s="11" t="str">
        <f aca="false">IF(A295="","",TEXT(A295,"ddd"))</f>
        <v/>
      </c>
      <c r="C295" s="44"/>
      <c r="D295" s="16"/>
      <c r="E295" s="16"/>
      <c r="F295" s="16"/>
      <c r="G295" s="16"/>
      <c r="H295" s="45"/>
      <c r="I295" s="45"/>
      <c r="J295" s="11" t="str">
        <f aca="false">IF(I295="","",LEN(I295))</f>
        <v/>
      </c>
      <c r="K295" s="16"/>
      <c r="L295" s="16"/>
      <c r="M295" s="11" t="str">
        <f aca="false">IF(L295="","",IFERROR(INDEX('Hashtag Bank'!$E$5:$E$104,MATCH(L295,'Hashtag Bank'!$B$5:$B$104,0)),""))</f>
        <v/>
      </c>
      <c r="N295" s="16"/>
      <c r="O295" s="16"/>
      <c r="P295" s="16"/>
      <c r="Q295" s="46" t="str">
        <f aca="true">IF(A295&amp;H295="","",TRIM(IF(AND(A295&lt;&gt;"",A295&lt;TODAY(),O295&lt;&gt;"Published",O295&lt;&gt;"Repurpose"),"⚠ Overdue ","")&amp;IF(AND(J295&lt;&gt;"",D295&lt;&gt;"",IFERROR(J295&gt;INDEX(Setup!$E$9:$E$18,MATCH(D295,Setup!$B$9:$B$18,0)),FALSE())),"✂ Caption too long ","")&amp;IF(AND(M295&lt;&gt;"",D295&lt;&gt;"",IFERROR(M295&gt;INDEX(Setup!$F$9:$F$18,MATCH(D295,Setup!$B$9:$B$18,0)),FALSE())),"# Too many tags","")))</f>
        <v/>
      </c>
      <c r="R295" s="16"/>
      <c r="S295" s="19"/>
      <c r="T295" s="19"/>
      <c r="U295" s="19"/>
      <c r="V295" s="19"/>
      <c r="W295" s="19"/>
      <c r="X295" s="19"/>
      <c r="Y295" s="19"/>
      <c r="Z295" s="47" t="str">
        <f aca="false">IF(COUNT(U295:X295)=0,"",SUM(U295:X295))</f>
        <v/>
      </c>
      <c r="AA295" s="48" t="str">
        <f aca="false">IF(OR(Z295="",N(T295)=0),"",Z295/T295)</f>
        <v/>
      </c>
      <c r="AB295" s="45"/>
      <c r="AC295" s="51" t="str">
        <f aca="false">IF(A295="","",A295+N(C295)+ROW()/10^7)</f>
        <v/>
      </c>
      <c r="AD295" s="51" t="str">
        <f aca="false">IF(A295="","",TEXT(A295,"0")&amp;"|"&amp;COUNTIFS('Content Log'!$A$5:$A$504,A295,'Content Log'!$AC$5:$AC$504,"&lt;="&amp;AC295))</f>
        <v/>
      </c>
      <c r="AE295" s="51" t="str">
        <f aca="false">IF(A295="","",IFERROR(INDEX(Setup!$N$9:$N$14,MATCH(O295,Setup!$M$9:$M$14,0))&amp;" ","")&amp;IF(C295="","",TEXT(C295,"h:mm AM/PM")&amp;" ")&amp;D295&amp;IF(H295="",""," · "&amp;H295))</f>
        <v/>
      </c>
      <c r="AF295" s="51" t="str">
        <f aca="false">IF(OR(A295="",AA295=""),"",IF(AND(A295&gt;=Dashboard!$G$4,A295&lt;=Dashboard!$I$4),AA295+ROW()/10^9,""))</f>
        <v/>
      </c>
      <c r="AG295" s="51" t="str">
        <f aca="false">IF(A295="","",WEEKDAY(A295,2))</f>
        <v/>
      </c>
    </row>
    <row r="296" customFormat="false" ht="15" hidden="false" customHeight="false" outlineLevel="0" collapsed="false">
      <c r="A296" s="43"/>
      <c r="B296" s="11" t="str">
        <f aca="false">IF(A296="","",TEXT(A296,"ddd"))</f>
        <v/>
      </c>
      <c r="C296" s="44"/>
      <c r="D296" s="16"/>
      <c r="E296" s="16"/>
      <c r="F296" s="16"/>
      <c r="G296" s="16"/>
      <c r="H296" s="45"/>
      <c r="I296" s="45"/>
      <c r="J296" s="11" t="str">
        <f aca="false">IF(I296="","",LEN(I296))</f>
        <v/>
      </c>
      <c r="K296" s="16"/>
      <c r="L296" s="16"/>
      <c r="M296" s="11" t="str">
        <f aca="false">IF(L296="","",IFERROR(INDEX('Hashtag Bank'!$E$5:$E$104,MATCH(L296,'Hashtag Bank'!$B$5:$B$104,0)),""))</f>
        <v/>
      </c>
      <c r="N296" s="16"/>
      <c r="O296" s="16"/>
      <c r="P296" s="16"/>
      <c r="Q296" s="46" t="str">
        <f aca="true">IF(A296&amp;H296="","",TRIM(IF(AND(A296&lt;&gt;"",A296&lt;TODAY(),O296&lt;&gt;"Published",O296&lt;&gt;"Repurpose"),"⚠ Overdue ","")&amp;IF(AND(J296&lt;&gt;"",D296&lt;&gt;"",IFERROR(J296&gt;INDEX(Setup!$E$9:$E$18,MATCH(D296,Setup!$B$9:$B$18,0)),FALSE())),"✂ Caption too long ","")&amp;IF(AND(M296&lt;&gt;"",D296&lt;&gt;"",IFERROR(M296&gt;INDEX(Setup!$F$9:$F$18,MATCH(D296,Setup!$B$9:$B$18,0)),FALSE())),"# Too many tags","")))</f>
        <v/>
      </c>
      <c r="R296" s="16"/>
      <c r="S296" s="19"/>
      <c r="T296" s="19"/>
      <c r="U296" s="19"/>
      <c r="V296" s="19"/>
      <c r="W296" s="19"/>
      <c r="X296" s="19"/>
      <c r="Y296" s="19"/>
      <c r="Z296" s="47" t="str">
        <f aca="false">IF(COUNT(U296:X296)=0,"",SUM(U296:X296))</f>
        <v/>
      </c>
      <c r="AA296" s="48" t="str">
        <f aca="false">IF(OR(Z296="",N(T296)=0),"",Z296/T296)</f>
        <v/>
      </c>
      <c r="AB296" s="45"/>
      <c r="AC296" s="51" t="str">
        <f aca="false">IF(A296="","",A296+N(C296)+ROW()/10^7)</f>
        <v/>
      </c>
      <c r="AD296" s="51" t="str">
        <f aca="false">IF(A296="","",TEXT(A296,"0")&amp;"|"&amp;COUNTIFS('Content Log'!$A$5:$A$504,A296,'Content Log'!$AC$5:$AC$504,"&lt;="&amp;AC296))</f>
        <v/>
      </c>
      <c r="AE296" s="51" t="str">
        <f aca="false">IF(A296="","",IFERROR(INDEX(Setup!$N$9:$N$14,MATCH(O296,Setup!$M$9:$M$14,0))&amp;" ","")&amp;IF(C296="","",TEXT(C296,"h:mm AM/PM")&amp;" ")&amp;D296&amp;IF(H296="",""," · "&amp;H296))</f>
        <v/>
      </c>
      <c r="AF296" s="51" t="str">
        <f aca="false">IF(OR(A296="",AA296=""),"",IF(AND(A296&gt;=Dashboard!$G$4,A296&lt;=Dashboard!$I$4),AA296+ROW()/10^9,""))</f>
        <v/>
      </c>
      <c r="AG296" s="51" t="str">
        <f aca="false">IF(A296="","",WEEKDAY(A296,2))</f>
        <v/>
      </c>
    </row>
    <row r="297" customFormat="false" ht="15" hidden="false" customHeight="false" outlineLevel="0" collapsed="false">
      <c r="A297" s="43"/>
      <c r="B297" s="11" t="str">
        <f aca="false">IF(A297="","",TEXT(A297,"ddd"))</f>
        <v/>
      </c>
      <c r="C297" s="44"/>
      <c r="D297" s="16"/>
      <c r="E297" s="16"/>
      <c r="F297" s="16"/>
      <c r="G297" s="16"/>
      <c r="H297" s="45"/>
      <c r="I297" s="45"/>
      <c r="J297" s="11" t="str">
        <f aca="false">IF(I297="","",LEN(I297))</f>
        <v/>
      </c>
      <c r="K297" s="16"/>
      <c r="L297" s="16"/>
      <c r="M297" s="11" t="str">
        <f aca="false">IF(L297="","",IFERROR(INDEX('Hashtag Bank'!$E$5:$E$104,MATCH(L297,'Hashtag Bank'!$B$5:$B$104,0)),""))</f>
        <v/>
      </c>
      <c r="N297" s="16"/>
      <c r="O297" s="16"/>
      <c r="P297" s="16"/>
      <c r="Q297" s="46" t="str">
        <f aca="true">IF(A297&amp;H297="","",TRIM(IF(AND(A297&lt;&gt;"",A297&lt;TODAY(),O297&lt;&gt;"Published",O297&lt;&gt;"Repurpose"),"⚠ Overdue ","")&amp;IF(AND(J297&lt;&gt;"",D297&lt;&gt;"",IFERROR(J297&gt;INDEX(Setup!$E$9:$E$18,MATCH(D297,Setup!$B$9:$B$18,0)),FALSE())),"✂ Caption too long ","")&amp;IF(AND(M297&lt;&gt;"",D297&lt;&gt;"",IFERROR(M297&gt;INDEX(Setup!$F$9:$F$18,MATCH(D297,Setup!$B$9:$B$18,0)),FALSE())),"# Too many tags","")))</f>
        <v/>
      </c>
      <c r="R297" s="16"/>
      <c r="S297" s="19"/>
      <c r="T297" s="19"/>
      <c r="U297" s="19"/>
      <c r="V297" s="19"/>
      <c r="W297" s="19"/>
      <c r="X297" s="19"/>
      <c r="Y297" s="19"/>
      <c r="Z297" s="47" t="str">
        <f aca="false">IF(COUNT(U297:X297)=0,"",SUM(U297:X297))</f>
        <v/>
      </c>
      <c r="AA297" s="48" t="str">
        <f aca="false">IF(OR(Z297="",N(T297)=0),"",Z297/T297)</f>
        <v/>
      </c>
      <c r="AB297" s="45"/>
      <c r="AC297" s="51" t="str">
        <f aca="false">IF(A297="","",A297+N(C297)+ROW()/10^7)</f>
        <v/>
      </c>
      <c r="AD297" s="51" t="str">
        <f aca="false">IF(A297="","",TEXT(A297,"0")&amp;"|"&amp;COUNTIFS('Content Log'!$A$5:$A$504,A297,'Content Log'!$AC$5:$AC$504,"&lt;="&amp;AC297))</f>
        <v/>
      </c>
      <c r="AE297" s="51" t="str">
        <f aca="false">IF(A297="","",IFERROR(INDEX(Setup!$N$9:$N$14,MATCH(O297,Setup!$M$9:$M$14,0))&amp;" ","")&amp;IF(C297="","",TEXT(C297,"h:mm AM/PM")&amp;" ")&amp;D297&amp;IF(H297="",""," · "&amp;H297))</f>
        <v/>
      </c>
      <c r="AF297" s="51" t="str">
        <f aca="false">IF(OR(A297="",AA297=""),"",IF(AND(A297&gt;=Dashboard!$G$4,A297&lt;=Dashboard!$I$4),AA297+ROW()/10^9,""))</f>
        <v/>
      </c>
      <c r="AG297" s="51" t="str">
        <f aca="false">IF(A297="","",WEEKDAY(A297,2))</f>
        <v/>
      </c>
    </row>
    <row r="298" customFormat="false" ht="15" hidden="false" customHeight="false" outlineLevel="0" collapsed="false">
      <c r="A298" s="43"/>
      <c r="B298" s="11" t="str">
        <f aca="false">IF(A298="","",TEXT(A298,"ddd"))</f>
        <v/>
      </c>
      <c r="C298" s="44"/>
      <c r="D298" s="16"/>
      <c r="E298" s="16"/>
      <c r="F298" s="16"/>
      <c r="G298" s="16"/>
      <c r="H298" s="45"/>
      <c r="I298" s="45"/>
      <c r="J298" s="11" t="str">
        <f aca="false">IF(I298="","",LEN(I298))</f>
        <v/>
      </c>
      <c r="K298" s="16"/>
      <c r="L298" s="16"/>
      <c r="M298" s="11" t="str">
        <f aca="false">IF(L298="","",IFERROR(INDEX('Hashtag Bank'!$E$5:$E$104,MATCH(L298,'Hashtag Bank'!$B$5:$B$104,0)),""))</f>
        <v/>
      </c>
      <c r="N298" s="16"/>
      <c r="O298" s="16"/>
      <c r="P298" s="16"/>
      <c r="Q298" s="46" t="str">
        <f aca="true">IF(A298&amp;H298="","",TRIM(IF(AND(A298&lt;&gt;"",A298&lt;TODAY(),O298&lt;&gt;"Published",O298&lt;&gt;"Repurpose"),"⚠ Overdue ","")&amp;IF(AND(J298&lt;&gt;"",D298&lt;&gt;"",IFERROR(J298&gt;INDEX(Setup!$E$9:$E$18,MATCH(D298,Setup!$B$9:$B$18,0)),FALSE())),"✂ Caption too long ","")&amp;IF(AND(M298&lt;&gt;"",D298&lt;&gt;"",IFERROR(M298&gt;INDEX(Setup!$F$9:$F$18,MATCH(D298,Setup!$B$9:$B$18,0)),FALSE())),"# Too many tags","")))</f>
        <v/>
      </c>
      <c r="R298" s="16"/>
      <c r="S298" s="19"/>
      <c r="T298" s="19"/>
      <c r="U298" s="19"/>
      <c r="V298" s="19"/>
      <c r="W298" s="19"/>
      <c r="X298" s="19"/>
      <c r="Y298" s="19"/>
      <c r="Z298" s="47" t="str">
        <f aca="false">IF(COUNT(U298:X298)=0,"",SUM(U298:X298))</f>
        <v/>
      </c>
      <c r="AA298" s="48" t="str">
        <f aca="false">IF(OR(Z298="",N(T298)=0),"",Z298/T298)</f>
        <v/>
      </c>
      <c r="AB298" s="45"/>
      <c r="AC298" s="51" t="str">
        <f aca="false">IF(A298="","",A298+N(C298)+ROW()/10^7)</f>
        <v/>
      </c>
      <c r="AD298" s="51" t="str">
        <f aca="false">IF(A298="","",TEXT(A298,"0")&amp;"|"&amp;COUNTIFS('Content Log'!$A$5:$A$504,A298,'Content Log'!$AC$5:$AC$504,"&lt;="&amp;AC298))</f>
        <v/>
      </c>
      <c r="AE298" s="51" t="str">
        <f aca="false">IF(A298="","",IFERROR(INDEX(Setup!$N$9:$N$14,MATCH(O298,Setup!$M$9:$M$14,0))&amp;" ","")&amp;IF(C298="","",TEXT(C298,"h:mm AM/PM")&amp;" ")&amp;D298&amp;IF(H298="",""," · "&amp;H298))</f>
        <v/>
      </c>
      <c r="AF298" s="51" t="str">
        <f aca="false">IF(OR(A298="",AA298=""),"",IF(AND(A298&gt;=Dashboard!$G$4,A298&lt;=Dashboard!$I$4),AA298+ROW()/10^9,""))</f>
        <v/>
      </c>
      <c r="AG298" s="51" t="str">
        <f aca="false">IF(A298="","",WEEKDAY(A298,2))</f>
        <v/>
      </c>
    </row>
    <row r="299" customFormat="false" ht="15" hidden="false" customHeight="false" outlineLevel="0" collapsed="false">
      <c r="A299" s="43"/>
      <c r="B299" s="11" t="str">
        <f aca="false">IF(A299="","",TEXT(A299,"ddd"))</f>
        <v/>
      </c>
      <c r="C299" s="44"/>
      <c r="D299" s="16"/>
      <c r="E299" s="16"/>
      <c r="F299" s="16"/>
      <c r="G299" s="16"/>
      <c r="H299" s="45"/>
      <c r="I299" s="45"/>
      <c r="J299" s="11" t="str">
        <f aca="false">IF(I299="","",LEN(I299))</f>
        <v/>
      </c>
      <c r="K299" s="16"/>
      <c r="L299" s="16"/>
      <c r="M299" s="11" t="str">
        <f aca="false">IF(L299="","",IFERROR(INDEX('Hashtag Bank'!$E$5:$E$104,MATCH(L299,'Hashtag Bank'!$B$5:$B$104,0)),""))</f>
        <v/>
      </c>
      <c r="N299" s="16"/>
      <c r="O299" s="16"/>
      <c r="P299" s="16"/>
      <c r="Q299" s="46" t="str">
        <f aca="true">IF(A299&amp;H299="","",TRIM(IF(AND(A299&lt;&gt;"",A299&lt;TODAY(),O299&lt;&gt;"Published",O299&lt;&gt;"Repurpose"),"⚠ Overdue ","")&amp;IF(AND(J299&lt;&gt;"",D299&lt;&gt;"",IFERROR(J299&gt;INDEX(Setup!$E$9:$E$18,MATCH(D299,Setup!$B$9:$B$18,0)),FALSE())),"✂ Caption too long ","")&amp;IF(AND(M299&lt;&gt;"",D299&lt;&gt;"",IFERROR(M299&gt;INDEX(Setup!$F$9:$F$18,MATCH(D299,Setup!$B$9:$B$18,0)),FALSE())),"# Too many tags","")))</f>
        <v/>
      </c>
      <c r="R299" s="16"/>
      <c r="S299" s="19"/>
      <c r="T299" s="19"/>
      <c r="U299" s="19"/>
      <c r="V299" s="19"/>
      <c r="W299" s="19"/>
      <c r="X299" s="19"/>
      <c r="Y299" s="19"/>
      <c r="Z299" s="47" t="str">
        <f aca="false">IF(COUNT(U299:X299)=0,"",SUM(U299:X299))</f>
        <v/>
      </c>
      <c r="AA299" s="48" t="str">
        <f aca="false">IF(OR(Z299="",N(T299)=0),"",Z299/T299)</f>
        <v/>
      </c>
      <c r="AB299" s="45"/>
      <c r="AC299" s="51" t="str">
        <f aca="false">IF(A299="","",A299+N(C299)+ROW()/10^7)</f>
        <v/>
      </c>
      <c r="AD299" s="51" t="str">
        <f aca="false">IF(A299="","",TEXT(A299,"0")&amp;"|"&amp;COUNTIFS('Content Log'!$A$5:$A$504,A299,'Content Log'!$AC$5:$AC$504,"&lt;="&amp;AC299))</f>
        <v/>
      </c>
      <c r="AE299" s="51" t="str">
        <f aca="false">IF(A299="","",IFERROR(INDEX(Setup!$N$9:$N$14,MATCH(O299,Setup!$M$9:$M$14,0))&amp;" ","")&amp;IF(C299="","",TEXT(C299,"h:mm AM/PM")&amp;" ")&amp;D299&amp;IF(H299="",""," · "&amp;H299))</f>
        <v/>
      </c>
      <c r="AF299" s="51" t="str">
        <f aca="false">IF(OR(A299="",AA299=""),"",IF(AND(A299&gt;=Dashboard!$G$4,A299&lt;=Dashboard!$I$4),AA299+ROW()/10^9,""))</f>
        <v/>
      </c>
      <c r="AG299" s="51" t="str">
        <f aca="false">IF(A299="","",WEEKDAY(A299,2))</f>
        <v/>
      </c>
    </row>
    <row r="300" customFormat="false" ht="15" hidden="false" customHeight="false" outlineLevel="0" collapsed="false">
      <c r="A300" s="43"/>
      <c r="B300" s="11" t="str">
        <f aca="false">IF(A300="","",TEXT(A300,"ddd"))</f>
        <v/>
      </c>
      <c r="C300" s="44"/>
      <c r="D300" s="16"/>
      <c r="E300" s="16"/>
      <c r="F300" s="16"/>
      <c r="G300" s="16"/>
      <c r="H300" s="45"/>
      <c r="I300" s="45"/>
      <c r="J300" s="11" t="str">
        <f aca="false">IF(I300="","",LEN(I300))</f>
        <v/>
      </c>
      <c r="K300" s="16"/>
      <c r="L300" s="16"/>
      <c r="M300" s="11" t="str">
        <f aca="false">IF(L300="","",IFERROR(INDEX('Hashtag Bank'!$E$5:$E$104,MATCH(L300,'Hashtag Bank'!$B$5:$B$104,0)),""))</f>
        <v/>
      </c>
      <c r="N300" s="16"/>
      <c r="O300" s="16"/>
      <c r="P300" s="16"/>
      <c r="Q300" s="46" t="str">
        <f aca="true">IF(A300&amp;H300="","",TRIM(IF(AND(A300&lt;&gt;"",A300&lt;TODAY(),O300&lt;&gt;"Published",O300&lt;&gt;"Repurpose"),"⚠ Overdue ","")&amp;IF(AND(J300&lt;&gt;"",D300&lt;&gt;"",IFERROR(J300&gt;INDEX(Setup!$E$9:$E$18,MATCH(D300,Setup!$B$9:$B$18,0)),FALSE())),"✂ Caption too long ","")&amp;IF(AND(M300&lt;&gt;"",D300&lt;&gt;"",IFERROR(M300&gt;INDEX(Setup!$F$9:$F$18,MATCH(D300,Setup!$B$9:$B$18,0)),FALSE())),"# Too many tags","")))</f>
        <v/>
      </c>
      <c r="R300" s="16"/>
      <c r="S300" s="19"/>
      <c r="T300" s="19"/>
      <c r="U300" s="19"/>
      <c r="V300" s="19"/>
      <c r="W300" s="19"/>
      <c r="X300" s="19"/>
      <c r="Y300" s="19"/>
      <c r="Z300" s="47" t="str">
        <f aca="false">IF(COUNT(U300:X300)=0,"",SUM(U300:X300))</f>
        <v/>
      </c>
      <c r="AA300" s="48" t="str">
        <f aca="false">IF(OR(Z300="",N(T300)=0),"",Z300/T300)</f>
        <v/>
      </c>
      <c r="AB300" s="45"/>
      <c r="AC300" s="51" t="str">
        <f aca="false">IF(A300="","",A300+N(C300)+ROW()/10^7)</f>
        <v/>
      </c>
      <c r="AD300" s="51" t="str">
        <f aca="false">IF(A300="","",TEXT(A300,"0")&amp;"|"&amp;COUNTIFS('Content Log'!$A$5:$A$504,A300,'Content Log'!$AC$5:$AC$504,"&lt;="&amp;AC300))</f>
        <v/>
      </c>
      <c r="AE300" s="51" t="str">
        <f aca="false">IF(A300="","",IFERROR(INDEX(Setup!$N$9:$N$14,MATCH(O300,Setup!$M$9:$M$14,0))&amp;" ","")&amp;IF(C300="","",TEXT(C300,"h:mm AM/PM")&amp;" ")&amp;D300&amp;IF(H300="",""," · "&amp;H300))</f>
        <v/>
      </c>
      <c r="AF300" s="51" t="str">
        <f aca="false">IF(OR(A300="",AA300=""),"",IF(AND(A300&gt;=Dashboard!$G$4,A300&lt;=Dashboard!$I$4),AA300+ROW()/10^9,""))</f>
        <v/>
      </c>
      <c r="AG300" s="51" t="str">
        <f aca="false">IF(A300="","",WEEKDAY(A300,2))</f>
        <v/>
      </c>
    </row>
    <row r="301" customFormat="false" ht="15" hidden="false" customHeight="false" outlineLevel="0" collapsed="false">
      <c r="A301" s="43"/>
      <c r="B301" s="11" t="str">
        <f aca="false">IF(A301="","",TEXT(A301,"ddd"))</f>
        <v/>
      </c>
      <c r="C301" s="44"/>
      <c r="D301" s="16"/>
      <c r="E301" s="16"/>
      <c r="F301" s="16"/>
      <c r="G301" s="16"/>
      <c r="H301" s="45"/>
      <c r="I301" s="45"/>
      <c r="J301" s="11" t="str">
        <f aca="false">IF(I301="","",LEN(I301))</f>
        <v/>
      </c>
      <c r="K301" s="16"/>
      <c r="L301" s="16"/>
      <c r="M301" s="11" t="str">
        <f aca="false">IF(L301="","",IFERROR(INDEX('Hashtag Bank'!$E$5:$E$104,MATCH(L301,'Hashtag Bank'!$B$5:$B$104,0)),""))</f>
        <v/>
      </c>
      <c r="N301" s="16"/>
      <c r="O301" s="16"/>
      <c r="P301" s="16"/>
      <c r="Q301" s="46" t="str">
        <f aca="true">IF(A301&amp;H301="","",TRIM(IF(AND(A301&lt;&gt;"",A301&lt;TODAY(),O301&lt;&gt;"Published",O301&lt;&gt;"Repurpose"),"⚠ Overdue ","")&amp;IF(AND(J301&lt;&gt;"",D301&lt;&gt;"",IFERROR(J301&gt;INDEX(Setup!$E$9:$E$18,MATCH(D301,Setup!$B$9:$B$18,0)),FALSE())),"✂ Caption too long ","")&amp;IF(AND(M301&lt;&gt;"",D301&lt;&gt;"",IFERROR(M301&gt;INDEX(Setup!$F$9:$F$18,MATCH(D301,Setup!$B$9:$B$18,0)),FALSE())),"# Too many tags","")))</f>
        <v/>
      </c>
      <c r="R301" s="16"/>
      <c r="S301" s="19"/>
      <c r="T301" s="19"/>
      <c r="U301" s="19"/>
      <c r="V301" s="19"/>
      <c r="W301" s="19"/>
      <c r="X301" s="19"/>
      <c r="Y301" s="19"/>
      <c r="Z301" s="47" t="str">
        <f aca="false">IF(COUNT(U301:X301)=0,"",SUM(U301:X301))</f>
        <v/>
      </c>
      <c r="AA301" s="48" t="str">
        <f aca="false">IF(OR(Z301="",N(T301)=0),"",Z301/T301)</f>
        <v/>
      </c>
      <c r="AB301" s="45"/>
      <c r="AC301" s="51" t="str">
        <f aca="false">IF(A301="","",A301+N(C301)+ROW()/10^7)</f>
        <v/>
      </c>
      <c r="AD301" s="51" t="str">
        <f aca="false">IF(A301="","",TEXT(A301,"0")&amp;"|"&amp;COUNTIFS('Content Log'!$A$5:$A$504,A301,'Content Log'!$AC$5:$AC$504,"&lt;="&amp;AC301))</f>
        <v/>
      </c>
      <c r="AE301" s="51" t="str">
        <f aca="false">IF(A301="","",IFERROR(INDEX(Setup!$N$9:$N$14,MATCH(O301,Setup!$M$9:$M$14,0))&amp;" ","")&amp;IF(C301="","",TEXT(C301,"h:mm AM/PM")&amp;" ")&amp;D301&amp;IF(H301="",""," · "&amp;H301))</f>
        <v/>
      </c>
      <c r="AF301" s="51" t="str">
        <f aca="false">IF(OR(A301="",AA301=""),"",IF(AND(A301&gt;=Dashboard!$G$4,A301&lt;=Dashboard!$I$4),AA301+ROW()/10^9,""))</f>
        <v/>
      </c>
      <c r="AG301" s="51" t="str">
        <f aca="false">IF(A301="","",WEEKDAY(A301,2))</f>
        <v/>
      </c>
    </row>
    <row r="302" customFormat="false" ht="15" hidden="false" customHeight="false" outlineLevel="0" collapsed="false">
      <c r="A302" s="43"/>
      <c r="B302" s="11" t="str">
        <f aca="false">IF(A302="","",TEXT(A302,"ddd"))</f>
        <v/>
      </c>
      <c r="C302" s="44"/>
      <c r="D302" s="16"/>
      <c r="E302" s="16"/>
      <c r="F302" s="16"/>
      <c r="G302" s="16"/>
      <c r="H302" s="45"/>
      <c r="I302" s="45"/>
      <c r="J302" s="11" t="str">
        <f aca="false">IF(I302="","",LEN(I302))</f>
        <v/>
      </c>
      <c r="K302" s="16"/>
      <c r="L302" s="16"/>
      <c r="M302" s="11" t="str">
        <f aca="false">IF(L302="","",IFERROR(INDEX('Hashtag Bank'!$E$5:$E$104,MATCH(L302,'Hashtag Bank'!$B$5:$B$104,0)),""))</f>
        <v/>
      </c>
      <c r="N302" s="16"/>
      <c r="O302" s="16"/>
      <c r="P302" s="16"/>
      <c r="Q302" s="46" t="str">
        <f aca="true">IF(A302&amp;H302="","",TRIM(IF(AND(A302&lt;&gt;"",A302&lt;TODAY(),O302&lt;&gt;"Published",O302&lt;&gt;"Repurpose"),"⚠ Overdue ","")&amp;IF(AND(J302&lt;&gt;"",D302&lt;&gt;"",IFERROR(J302&gt;INDEX(Setup!$E$9:$E$18,MATCH(D302,Setup!$B$9:$B$18,0)),FALSE())),"✂ Caption too long ","")&amp;IF(AND(M302&lt;&gt;"",D302&lt;&gt;"",IFERROR(M302&gt;INDEX(Setup!$F$9:$F$18,MATCH(D302,Setup!$B$9:$B$18,0)),FALSE())),"# Too many tags","")))</f>
        <v/>
      </c>
      <c r="R302" s="16"/>
      <c r="S302" s="19"/>
      <c r="T302" s="19"/>
      <c r="U302" s="19"/>
      <c r="V302" s="19"/>
      <c r="W302" s="19"/>
      <c r="X302" s="19"/>
      <c r="Y302" s="19"/>
      <c r="Z302" s="47" t="str">
        <f aca="false">IF(COUNT(U302:X302)=0,"",SUM(U302:X302))</f>
        <v/>
      </c>
      <c r="AA302" s="48" t="str">
        <f aca="false">IF(OR(Z302="",N(T302)=0),"",Z302/T302)</f>
        <v/>
      </c>
      <c r="AB302" s="45"/>
      <c r="AC302" s="51" t="str">
        <f aca="false">IF(A302="","",A302+N(C302)+ROW()/10^7)</f>
        <v/>
      </c>
      <c r="AD302" s="51" t="str">
        <f aca="false">IF(A302="","",TEXT(A302,"0")&amp;"|"&amp;COUNTIFS('Content Log'!$A$5:$A$504,A302,'Content Log'!$AC$5:$AC$504,"&lt;="&amp;AC302))</f>
        <v/>
      </c>
      <c r="AE302" s="51" t="str">
        <f aca="false">IF(A302="","",IFERROR(INDEX(Setup!$N$9:$N$14,MATCH(O302,Setup!$M$9:$M$14,0))&amp;" ","")&amp;IF(C302="","",TEXT(C302,"h:mm AM/PM")&amp;" ")&amp;D302&amp;IF(H302="",""," · "&amp;H302))</f>
        <v/>
      </c>
      <c r="AF302" s="51" t="str">
        <f aca="false">IF(OR(A302="",AA302=""),"",IF(AND(A302&gt;=Dashboard!$G$4,A302&lt;=Dashboard!$I$4),AA302+ROW()/10^9,""))</f>
        <v/>
      </c>
      <c r="AG302" s="51" t="str">
        <f aca="false">IF(A302="","",WEEKDAY(A302,2))</f>
        <v/>
      </c>
    </row>
    <row r="303" customFormat="false" ht="15" hidden="false" customHeight="false" outlineLevel="0" collapsed="false">
      <c r="A303" s="43"/>
      <c r="B303" s="11" t="str">
        <f aca="false">IF(A303="","",TEXT(A303,"ddd"))</f>
        <v/>
      </c>
      <c r="C303" s="44"/>
      <c r="D303" s="16"/>
      <c r="E303" s="16"/>
      <c r="F303" s="16"/>
      <c r="G303" s="16"/>
      <c r="H303" s="45"/>
      <c r="I303" s="45"/>
      <c r="J303" s="11" t="str">
        <f aca="false">IF(I303="","",LEN(I303))</f>
        <v/>
      </c>
      <c r="K303" s="16"/>
      <c r="L303" s="16"/>
      <c r="M303" s="11" t="str">
        <f aca="false">IF(L303="","",IFERROR(INDEX('Hashtag Bank'!$E$5:$E$104,MATCH(L303,'Hashtag Bank'!$B$5:$B$104,0)),""))</f>
        <v/>
      </c>
      <c r="N303" s="16"/>
      <c r="O303" s="16"/>
      <c r="P303" s="16"/>
      <c r="Q303" s="46" t="str">
        <f aca="true">IF(A303&amp;H303="","",TRIM(IF(AND(A303&lt;&gt;"",A303&lt;TODAY(),O303&lt;&gt;"Published",O303&lt;&gt;"Repurpose"),"⚠ Overdue ","")&amp;IF(AND(J303&lt;&gt;"",D303&lt;&gt;"",IFERROR(J303&gt;INDEX(Setup!$E$9:$E$18,MATCH(D303,Setup!$B$9:$B$18,0)),FALSE())),"✂ Caption too long ","")&amp;IF(AND(M303&lt;&gt;"",D303&lt;&gt;"",IFERROR(M303&gt;INDEX(Setup!$F$9:$F$18,MATCH(D303,Setup!$B$9:$B$18,0)),FALSE())),"# Too many tags","")))</f>
        <v/>
      </c>
      <c r="R303" s="16"/>
      <c r="S303" s="19"/>
      <c r="T303" s="19"/>
      <c r="U303" s="19"/>
      <c r="V303" s="19"/>
      <c r="W303" s="19"/>
      <c r="X303" s="19"/>
      <c r="Y303" s="19"/>
      <c r="Z303" s="47" t="str">
        <f aca="false">IF(COUNT(U303:X303)=0,"",SUM(U303:X303))</f>
        <v/>
      </c>
      <c r="AA303" s="48" t="str">
        <f aca="false">IF(OR(Z303="",N(T303)=0),"",Z303/T303)</f>
        <v/>
      </c>
      <c r="AB303" s="45"/>
      <c r="AC303" s="51" t="str">
        <f aca="false">IF(A303="","",A303+N(C303)+ROW()/10^7)</f>
        <v/>
      </c>
      <c r="AD303" s="51" t="str">
        <f aca="false">IF(A303="","",TEXT(A303,"0")&amp;"|"&amp;COUNTIFS('Content Log'!$A$5:$A$504,A303,'Content Log'!$AC$5:$AC$504,"&lt;="&amp;AC303))</f>
        <v/>
      </c>
      <c r="AE303" s="51" t="str">
        <f aca="false">IF(A303="","",IFERROR(INDEX(Setup!$N$9:$N$14,MATCH(O303,Setup!$M$9:$M$14,0))&amp;" ","")&amp;IF(C303="","",TEXT(C303,"h:mm AM/PM")&amp;" ")&amp;D303&amp;IF(H303="",""," · "&amp;H303))</f>
        <v/>
      </c>
      <c r="AF303" s="51" t="str">
        <f aca="false">IF(OR(A303="",AA303=""),"",IF(AND(A303&gt;=Dashboard!$G$4,A303&lt;=Dashboard!$I$4),AA303+ROW()/10^9,""))</f>
        <v/>
      </c>
      <c r="AG303" s="51" t="str">
        <f aca="false">IF(A303="","",WEEKDAY(A303,2))</f>
        <v/>
      </c>
    </row>
    <row r="304" customFormat="false" ht="15" hidden="false" customHeight="false" outlineLevel="0" collapsed="false">
      <c r="A304" s="43"/>
      <c r="B304" s="11" t="str">
        <f aca="false">IF(A304="","",TEXT(A304,"ddd"))</f>
        <v/>
      </c>
      <c r="C304" s="44"/>
      <c r="D304" s="16"/>
      <c r="E304" s="16"/>
      <c r="F304" s="16"/>
      <c r="G304" s="16"/>
      <c r="H304" s="45"/>
      <c r="I304" s="45"/>
      <c r="J304" s="11" t="str">
        <f aca="false">IF(I304="","",LEN(I304))</f>
        <v/>
      </c>
      <c r="K304" s="16"/>
      <c r="L304" s="16"/>
      <c r="M304" s="11" t="str">
        <f aca="false">IF(L304="","",IFERROR(INDEX('Hashtag Bank'!$E$5:$E$104,MATCH(L304,'Hashtag Bank'!$B$5:$B$104,0)),""))</f>
        <v/>
      </c>
      <c r="N304" s="16"/>
      <c r="O304" s="16"/>
      <c r="P304" s="16"/>
      <c r="Q304" s="46" t="str">
        <f aca="true">IF(A304&amp;H304="","",TRIM(IF(AND(A304&lt;&gt;"",A304&lt;TODAY(),O304&lt;&gt;"Published",O304&lt;&gt;"Repurpose"),"⚠ Overdue ","")&amp;IF(AND(J304&lt;&gt;"",D304&lt;&gt;"",IFERROR(J304&gt;INDEX(Setup!$E$9:$E$18,MATCH(D304,Setup!$B$9:$B$18,0)),FALSE())),"✂ Caption too long ","")&amp;IF(AND(M304&lt;&gt;"",D304&lt;&gt;"",IFERROR(M304&gt;INDEX(Setup!$F$9:$F$18,MATCH(D304,Setup!$B$9:$B$18,0)),FALSE())),"# Too many tags","")))</f>
        <v/>
      </c>
      <c r="R304" s="16"/>
      <c r="S304" s="19"/>
      <c r="T304" s="19"/>
      <c r="U304" s="19"/>
      <c r="V304" s="19"/>
      <c r="W304" s="19"/>
      <c r="X304" s="19"/>
      <c r="Y304" s="19"/>
      <c r="Z304" s="47" t="str">
        <f aca="false">IF(COUNT(U304:X304)=0,"",SUM(U304:X304))</f>
        <v/>
      </c>
      <c r="AA304" s="48" t="str">
        <f aca="false">IF(OR(Z304="",N(T304)=0),"",Z304/T304)</f>
        <v/>
      </c>
      <c r="AB304" s="45"/>
      <c r="AC304" s="51" t="str">
        <f aca="false">IF(A304="","",A304+N(C304)+ROW()/10^7)</f>
        <v/>
      </c>
      <c r="AD304" s="51" t="str">
        <f aca="false">IF(A304="","",TEXT(A304,"0")&amp;"|"&amp;COUNTIFS('Content Log'!$A$5:$A$504,A304,'Content Log'!$AC$5:$AC$504,"&lt;="&amp;AC304))</f>
        <v/>
      </c>
      <c r="AE304" s="51" t="str">
        <f aca="false">IF(A304="","",IFERROR(INDEX(Setup!$N$9:$N$14,MATCH(O304,Setup!$M$9:$M$14,0))&amp;" ","")&amp;IF(C304="","",TEXT(C304,"h:mm AM/PM")&amp;" ")&amp;D304&amp;IF(H304="",""," · "&amp;H304))</f>
        <v/>
      </c>
      <c r="AF304" s="51" t="str">
        <f aca="false">IF(OR(A304="",AA304=""),"",IF(AND(A304&gt;=Dashboard!$G$4,A304&lt;=Dashboard!$I$4),AA304+ROW()/10^9,""))</f>
        <v/>
      </c>
      <c r="AG304" s="51" t="str">
        <f aca="false">IF(A304="","",WEEKDAY(A304,2))</f>
        <v/>
      </c>
    </row>
    <row r="305" customFormat="false" ht="15" hidden="false" customHeight="false" outlineLevel="0" collapsed="false">
      <c r="A305" s="43"/>
      <c r="B305" s="11" t="str">
        <f aca="false">IF(A305="","",TEXT(A305,"ddd"))</f>
        <v/>
      </c>
      <c r="C305" s="44"/>
      <c r="D305" s="16"/>
      <c r="E305" s="16"/>
      <c r="F305" s="16"/>
      <c r="G305" s="16"/>
      <c r="H305" s="45"/>
      <c r="I305" s="45"/>
      <c r="J305" s="11" t="str">
        <f aca="false">IF(I305="","",LEN(I305))</f>
        <v/>
      </c>
      <c r="K305" s="16"/>
      <c r="L305" s="16"/>
      <c r="M305" s="11" t="str">
        <f aca="false">IF(L305="","",IFERROR(INDEX('Hashtag Bank'!$E$5:$E$104,MATCH(L305,'Hashtag Bank'!$B$5:$B$104,0)),""))</f>
        <v/>
      </c>
      <c r="N305" s="16"/>
      <c r="O305" s="16"/>
      <c r="P305" s="16"/>
      <c r="Q305" s="46" t="str">
        <f aca="true">IF(A305&amp;H305="","",TRIM(IF(AND(A305&lt;&gt;"",A305&lt;TODAY(),O305&lt;&gt;"Published",O305&lt;&gt;"Repurpose"),"⚠ Overdue ","")&amp;IF(AND(J305&lt;&gt;"",D305&lt;&gt;"",IFERROR(J305&gt;INDEX(Setup!$E$9:$E$18,MATCH(D305,Setup!$B$9:$B$18,0)),FALSE())),"✂ Caption too long ","")&amp;IF(AND(M305&lt;&gt;"",D305&lt;&gt;"",IFERROR(M305&gt;INDEX(Setup!$F$9:$F$18,MATCH(D305,Setup!$B$9:$B$18,0)),FALSE())),"# Too many tags","")))</f>
        <v/>
      </c>
      <c r="R305" s="16"/>
      <c r="S305" s="19"/>
      <c r="T305" s="19"/>
      <c r="U305" s="19"/>
      <c r="V305" s="19"/>
      <c r="W305" s="19"/>
      <c r="X305" s="19"/>
      <c r="Y305" s="19"/>
      <c r="Z305" s="47" t="str">
        <f aca="false">IF(COUNT(U305:X305)=0,"",SUM(U305:X305))</f>
        <v/>
      </c>
      <c r="AA305" s="48" t="str">
        <f aca="false">IF(OR(Z305="",N(T305)=0),"",Z305/T305)</f>
        <v/>
      </c>
      <c r="AB305" s="45"/>
      <c r="AC305" s="51" t="str">
        <f aca="false">IF(A305="","",A305+N(C305)+ROW()/10^7)</f>
        <v/>
      </c>
      <c r="AD305" s="51" t="str">
        <f aca="false">IF(A305="","",TEXT(A305,"0")&amp;"|"&amp;COUNTIFS('Content Log'!$A$5:$A$504,A305,'Content Log'!$AC$5:$AC$504,"&lt;="&amp;AC305))</f>
        <v/>
      </c>
      <c r="AE305" s="51" t="str">
        <f aca="false">IF(A305="","",IFERROR(INDEX(Setup!$N$9:$N$14,MATCH(O305,Setup!$M$9:$M$14,0))&amp;" ","")&amp;IF(C305="","",TEXT(C305,"h:mm AM/PM")&amp;" ")&amp;D305&amp;IF(H305="",""," · "&amp;H305))</f>
        <v/>
      </c>
      <c r="AF305" s="51" t="str">
        <f aca="false">IF(OR(A305="",AA305=""),"",IF(AND(A305&gt;=Dashboard!$G$4,A305&lt;=Dashboard!$I$4),AA305+ROW()/10^9,""))</f>
        <v/>
      </c>
      <c r="AG305" s="51" t="str">
        <f aca="false">IF(A305="","",WEEKDAY(A305,2))</f>
        <v/>
      </c>
    </row>
    <row r="306" customFormat="false" ht="15" hidden="false" customHeight="false" outlineLevel="0" collapsed="false">
      <c r="A306" s="43"/>
      <c r="B306" s="11" t="str">
        <f aca="false">IF(A306="","",TEXT(A306,"ddd"))</f>
        <v/>
      </c>
      <c r="C306" s="44"/>
      <c r="D306" s="16"/>
      <c r="E306" s="16"/>
      <c r="F306" s="16"/>
      <c r="G306" s="16"/>
      <c r="H306" s="45"/>
      <c r="I306" s="45"/>
      <c r="J306" s="11" t="str">
        <f aca="false">IF(I306="","",LEN(I306))</f>
        <v/>
      </c>
      <c r="K306" s="16"/>
      <c r="L306" s="16"/>
      <c r="M306" s="11" t="str">
        <f aca="false">IF(L306="","",IFERROR(INDEX('Hashtag Bank'!$E$5:$E$104,MATCH(L306,'Hashtag Bank'!$B$5:$B$104,0)),""))</f>
        <v/>
      </c>
      <c r="N306" s="16"/>
      <c r="O306" s="16"/>
      <c r="P306" s="16"/>
      <c r="Q306" s="46" t="str">
        <f aca="true">IF(A306&amp;H306="","",TRIM(IF(AND(A306&lt;&gt;"",A306&lt;TODAY(),O306&lt;&gt;"Published",O306&lt;&gt;"Repurpose"),"⚠ Overdue ","")&amp;IF(AND(J306&lt;&gt;"",D306&lt;&gt;"",IFERROR(J306&gt;INDEX(Setup!$E$9:$E$18,MATCH(D306,Setup!$B$9:$B$18,0)),FALSE())),"✂ Caption too long ","")&amp;IF(AND(M306&lt;&gt;"",D306&lt;&gt;"",IFERROR(M306&gt;INDEX(Setup!$F$9:$F$18,MATCH(D306,Setup!$B$9:$B$18,0)),FALSE())),"# Too many tags","")))</f>
        <v/>
      </c>
      <c r="R306" s="16"/>
      <c r="S306" s="19"/>
      <c r="T306" s="19"/>
      <c r="U306" s="19"/>
      <c r="V306" s="19"/>
      <c r="W306" s="19"/>
      <c r="X306" s="19"/>
      <c r="Y306" s="19"/>
      <c r="Z306" s="47" t="str">
        <f aca="false">IF(COUNT(U306:X306)=0,"",SUM(U306:X306))</f>
        <v/>
      </c>
      <c r="AA306" s="48" t="str">
        <f aca="false">IF(OR(Z306="",N(T306)=0),"",Z306/T306)</f>
        <v/>
      </c>
      <c r="AB306" s="45"/>
      <c r="AC306" s="51" t="str">
        <f aca="false">IF(A306="","",A306+N(C306)+ROW()/10^7)</f>
        <v/>
      </c>
      <c r="AD306" s="51" t="str">
        <f aca="false">IF(A306="","",TEXT(A306,"0")&amp;"|"&amp;COUNTIFS('Content Log'!$A$5:$A$504,A306,'Content Log'!$AC$5:$AC$504,"&lt;="&amp;AC306))</f>
        <v/>
      </c>
      <c r="AE306" s="51" t="str">
        <f aca="false">IF(A306="","",IFERROR(INDEX(Setup!$N$9:$N$14,MATCH(O306,Setup!$M$9:$M$14,0))&amp;" ","")&amp;IF(C306="","",TEXT(C306,"h:mm AM/PM")&amp;" ")&amp;D306&amp;IF(H306="",""," · "&amp;H306))</f>
        <v/>
      </c>
      <c r="AF306" s="51" t="str">
        <f aca="false">IF(OR(A306="",AA306=""),"",IF(AND(A306&gt;=Dashboard!$G$4,A306&lt;=Dashboard!$I$4),AA306+ROW()/10^9,""))</f>
        <v/>
      </c>
      <c r="AG306" s="51" t="str">
        <f aca="false">IF(A306="","",WEEKDAY(A306,2))</f>
        <v/>
      </c>
    </row>
    <row r="307" customFormat="false" ht="15" hidden="false" customHeight="false" outlineLevel="0" collapsed="false">
      <c r="A307" s="43"/>
      <c r="B307" s="11" t="str">
        <f aca="false">IF(A307="","",TEXT(A307,"ddd"))</f>
        <v/>
      </c>
      <c r="C307" s="44"/>
      <c r="D307" s="16"/>
      <c r="E307" s="16"/>
      <c r="F307" s="16"/>
      <c r="G307" s="16"/>
      <c r="H307" s="45"/>
      <c r="I307" s="45"/>
      <c r="J307" s="11" t="str">
        <f aca="false">IF(I307="","",LEN(I307))</f>
        <v/>
      </c>
      <c r="K307" s="16"/>
      <c r="L307" s="16"/>
      <c r="M307" s="11" t="str">
        <f aca="false">IF(L307="","",IFERROR(INDEX('Hashtag Bank'!$E$5:$E$104,MATCH(L307,'Hashtag Bank'!$B$5:$B$104,0)),""))</f>
        <v/>
      </c>
      <c r="N307" s="16"/>
      <c r="O307" s="16"/>
      <c r="P307" s="16"/>
      <c r="Q307" s="46" t="str">
        <f aca="true">IF(A307&amp;H307="","",TRIM(IF(AND(A307&lt;&gt;"",A307&lt;TODAY(),O307&lt;&gt;"Published",O307&lt;&gt;"Repurpose"),"⚠ Overdue ","")&amp;IF(AND(J307&lt;&gt;"",D307&lt;&gt;"",IFERROR(J307&gt;INDEX(Setup!$E$9:$E$18,MATCH(D307,Setup!$B$9:$B$18,0)),FALSE())),"✂ Caption too long ","")&amp;IF(AND(M307&lt;&gt;"",D307&lt;&gt;"",IFERROR(M307&gt;INDEX(Setup!$F$9:$F$18,MATCH(D307,Setup!$B$9:$B$18,0)),FALSE())),"# Too many tags","")))</f>
        <v/>
      </c>
      <c r="R307" s="16"/>
      <c r="S307" s="19"/>
      <c r="T307" s="19"/>
      <c r="U307" s="19"/>
      <c r="V307" s="19"/>
      <c r="W307" s="19"/>
      <c r="X307" s="19"/>
      <c r="Y307" s="19"/>
      <c r="Z307" s="47" t="str">
        <f aca="false">IF(COUNT(U307:X307)=0,"",SUM(U307:X307))</f>
        <v/>
      </c>
      <c r="AA307" s="48" t="str">
        <f aca="false">IF(OR(Z307="",N(T307)=0),"",Z307/T307)</f>
        <v/>
      </c>
      <c r="AB307" s="45"/>
      <c r="AC307" s="51" t="str">
        <f aca="false">IF(A307="","",A307+N(C307)+ROW()/10^7)</f>
        <v/>
      </c>
      <c r="AD307" s="51" t="str">
        <f aca="false">IF(A307="","",TEXT(A307,"0")&amp;"|"&amp;COUNTIFS('Content Log'!$A$5:$A$504,A307,'Content Log'!$AC$5:$AC$504,"&lt;="&amp;AC307))</f>
        <v/>
      </c>
      <c r="AE307" s="51" t="str">
        <f aca="false">IF(A307="","",IFERROR(INDEX(Setup!$N$9:$N$14,MATCH(O307,Setup!$M$9:$M$14,0))&amp;" ","")&amp;IF(C307="","",TEXT(C307,"h:mm AM/PM")&amp;" ")&amp;D307&amp;IF(H307="",""," · "&amp;H307))</f>
        <v/>
      </c>
      <c r="AF307" s="51" t="str">
        <f aca="false">IF(OR(A307="",AA307=""),"",IF(AND(A307&gt;=Dashboard!$G$4,A307&lt;=Dashboard!$I$4),AA307+ROW()/10^9,""))</f>
        <v/>
      </c>
      <c r="AG307" s="51" t="str">
        <f aca="false">IF(A307="","",WEEKDAY(A307,2))</f>
        <v/>
      </c>
    </row>
    <row r="308" customFormat="false" ht="15" hidden="false" customHeight="false" outlineLevel="0" collapsed="false">
      <c r="A308" s="43"/>
      <c r="B308" s="11" t="str">
        <f aca="false">IF(A308="","",TEXT(A308,"ddd"))</f>
        <v/>
      </c>
      <c r="C308" s="44"/>
      <c r="D308" s="16"/>
      <c r="E308" s="16"/>
      <c r="F308" s="16"/>
      <c r="G308" s="16"/>
      <c r="H308" s="45"/>
      <c r="I308" s="45"/>
      <c r="J308" s="11" t="str">
        <f aca="false">IF(I308="","",LEN(I308))</f>
        <v/>
      </c>
      <c r="K308" s="16"/>
      <c r="L308" s="16"/>
      <c r="M308" s="11" t="str">
        <f aca="false">IF(L308="","",IFERROR(INDEX('Hashtag Bank'!$E$5:$E$104,MATCH(L308,'Hashtag Bank'!$B$5:$B$104,0)),""))</f>
        <v/>
      </c>
      <c r="N308" s="16"/>
      <c r="O308" s="16"/>
      <c r="P308" s="16"/>
      <c r="Q308" s="46" t="str">
        <f aca="true">IF(A308&amp;H308="","",TRIM(IF(AND(A308&lt;&gt;"",A308&lt;TODAY(),O308&lt;&gt;"Published",O308&lt;&gt;"Repurpose"),"⚠ Overdue ","")&amp;IF(AND(J308&lt;&gt;"",D308&lt;&gt;"",IFERROR(J308&gt;INDEX(Setup!$E$9:$E$18,MATCH(D308,Setup!$B$9:$B$18,0)),FALSE())),"✂ Caption too long ","")&amp;IF(AND(M308&lt;&gt;"",D308&lt;&gt;"",IFERROR(M308&gt;INDEX(Setup!$F$9:$F$18,MATCH(D308,Setup!$B$9:$B$18,0)),FALSE())),"# Too many tags","")))</f>
        <v/>
      </c>
      <c r="R308" s="16"/>
      <c r="S308" s="19"/>
      <c r="T308" s="19"/>
      <c r="U308" s="19"/>
      <c r="V308" s="19"/>
      <c r="W308" s="19"/>
      <c r="X308" s="19"/>
      <c r="Y308" s="19"/>
      <c r="Z308" s="47" t="str">
        <f aca="false">IF(COUNT(U308:X308)=0,"",SUM(U308:X308))</f>
        <v/>
      </c>
      <c r="AA308" s="48" t="str">
        <f aca="false">IF(OR(Z308="",N(T308)=0),"",Z308/T308)</f>
        <v/>
      </c>
      <c r="AB308" s="45"/>
      <c r="AC308" s="51" t="str">
        <f aca="false">IF(A308="","",A308+N(C308)+ROW()/10^7)</f>
        <v/>
      </c>
      <c r="AD308" s="51" t="str">
        <f aca="false">IF(A308="","",TEXT(A308,"0")&amp;"|"&amp;COUNTIFS('Content Log'!$A$5:$A$504,A308,'Content Log'!$AC$5:$AC$504,"&lt;="&amp;AC308))</f>
        <v/>
      </c>
      <c r="AE308" s="51" t="str">
        <f aca="false">IF(A308="","",IFERROR(INDEX(Setup!$N$9:$N$14,MATCH(O308,Setup!$M$9:$M$14,0))&amp;" ","")&amp;IF(C308="","",TEXT(C308,"h:mm AM/PM")&amp;" ")&amp;D308&amp;IF(H308="",""," · "&amp;H308))</f>
        <v/>
      </c>
      <c r="AF308" s="51" t="str">
        <f aca="false">IF(OR(A308="",AA308=""),"",IF(AND(A308&gt;=Dashboard!$G$4,A308&lt;=Dashboard!$I$4),AA308+ROW()/10^9,""))</f>
        <v/>
      </c>
      <c r="AG308" s="51" t="str">
        <f aca="false">IF(A308="","",WEEKDAY(A308,2))</f>
        <v/>
      </c>
    </row>
    <row r="309" customFormat="false" ht="15" hidden="false" customHeight="false" outlineLevel="0" collapsed="false">
      <c r="A309" s="43"/>
      <c r="B309" s="11" t="str">
        <f aca="false">IF(A309="","",TEXT(A309,"ddd"))</f>
        <v/>
      </c>
      <c r="C309" s="44"/>
      <c r="D309" s="16"/>
      <c r="E309" s="16"/>
      <c r="F309" s="16"/>
      <c r="G309" s="16"/>
      <c r="H309" s="45"/>
      <c r="I309" s="45"/>
      <c r="J309" s="11" t="str">
        <f aca="false">IF(I309="","",LEN(I309))</f>
        <v/>
      </c>
      <c r="K309" s="16"/>
      <c r="L309" s="16"/>
      <c r="M309" s="11" t="str">
        <f aca="false">IF(L309="","",IFERROR(INDEX('Hashtag Bank'!$E$5:$E$104,MATCH(L309,'Hashtag Bank'!$B$5:$B$104,0)),""))</f>
        <v/>
      </c>
      <c r="N309" s="16"/>
      <c r="O309" s="16"/>
      <c r="P309" s="16"/>
      <c r="Q309" s="46" t="str">
        <f aca="true">IF(A309&amp;H309="","",TRIM(IF(AND(A309&lt;&gt;"",A309&lt;TODAY(),O309&lt;&gt;"Published",O309&lt;&gt;"Repurpose"),"⚠ Overdue ","")&amp;IF(AND(J309&lt;&gt;"",D309&lt;&gt;"",IFERROR(J309&gt;INDEX(Setup!$E$9:$E$18,MATCH(D309,Setup!$B$9:$B$18,0)),FALSE())),"✂ Caption too long ","")&amp;IF(AND(M309&lt;&gt;"",D309&lt;&gt;"",IFERROR(M309&gt;INDEX(Setup!$F$9:$F$18,MATCH(D309,Setup!$B$9:$B$18,0)),FALSE())),"# Too many tags","")))</f>
        <v/>
      </c>
      <c r="R309" s="16"/>
      <c r="S309" s="19"/>
      <c r="T309" s="19"/>
      <c r="U309" s="19"/>
      <c r="V309" s="19"/>
      <c r="W309" s="19"/>
      <c r="X309" s="19"/>
      <c r="Y309" s="19"/>
      <c r="Z309" s="47" t="str">
        <f aca="false">IF(COUNT(U309:X309)=0,"",SUM(U309:X309))</f>
        <v/>
      </c>
      <c r="AA309" s="48" t="str">
        <f aca="false">IF(OR(Z309="",N(T309)=0),"",Z309/T309)</f>
        <v/>
      </c>
      <c r="AB309" s="45"/>
      <c r="AC309" s="51" t="str">
        <f aca="false">IF(A309="","",A309+N(C309)+ROW()/10^7)</f>
        <v/>
      </c>
      <c r="AD309" s="51" t="str">
        <f aca="false">IF(A309="","",TEXT(A309,"0")&amp;"|"&amp;COUNTIFS('Content Log'!$A$5:$A$504,A309,'Content Log'!$AC$5:$AC$504,"&lt;="&amp;AC309))</f>
        <v/>
      </c>
      <c r="AE309" s="51" t="str">
        <f aca="false">IF(A309="","",IFERROR(INDEX(Setup!$N$9:$N$14,MATCH(O309,Setup!$M$9:$M$14,0))&amp;" ","")&amp;IF(C309="","",TEXT(C309,"h:mm AM/PM")&amp;" ")&amp;D309&amp;IF(H309="",""," · "&amp;H309))</f>
        <v/>
      </c>
      <c r="AF309" s="51" t="str">
        <f aca="false">IF(OR(A309="",AA309=""),"",IF(AND(A309&gt;=Dashboard!$G$4,A309&lt;=Dashboard!$I$4),AA309+ROW()/10^9,""))</f>
        <v/>
      </c>
      <c r="AG309" s="51" t="str">
        <f aca="false">IF(A309="","",WEEKDAY(A309,2))</f>
        <v/>
      </c>
    </row>
    <row r="310" customFormat="false" ht="15" hidden="false" customHeight="false" outlineLevel="0" collapsed="false">
      <c r="A310" s="43"/>
      <c r="B310" s="11" t="str">
        <f aca="false">IF(A310="","",TEXT(A310,"ddd"))</f>
        <v/>
      </c>
      <c r="C310" s="44"/>
      <c r="D310" s="16"/>
      <c r="E310" s="16"/>
      <c r="F310" s="16"/>
      <c r="G310" s="16"/>
      <c r="H310" s="45"/>
      <c r="I310" s="45"/>
      <c r="J310" s="11" t="str">
        <f aca="false">IF(I310="","",LEN(I310))</f>
        <v/>
      </c>
      <c r="K310" s="16"/>
      <c r="L310" s="16"/>
      <c r="M310" s="11" t="str">
        <f aca="false">IF(L310="","",IFERROR(INDEX('Hashtag Bank'!$E$5:$E$104,MATCH(L310,'Hashtag Bank'!$B$5:$B$104,0)),""))</f>
        <v/>
      </c>
      <c r="N310" s="16"/>
      <c r="O310" s="16"/>
      <c r="P310" s="16"/>
      <c r="Q310" s="46" t="str">
        <f aca="true">IF(A310&amp;H310="","",TRIM(IF(AND(A310&lt;&gt;"",A310&lt;TODAY(),O310&lt;&gt;"Published",O310&lt;&gt;"Repurpose"),"⚠ Overdue ","")&amp;IF(AND(J310&lt;&gt;"",D310&lt;&gt;"",IFERROR(J310&gt;INDEX(Setup!$E$9:$E$18,MATCH(D310,Setup!$B$9:$B$18,0)),FALSE())),"✂ Caption too long ","")&amp;IF(AND(M310&lt;&gt;"",D310&lt;&gt;"",IFERROR(M310&gt;INDEX(Setup!$F$9:$F$18,MATCH(D310,Setup!$B$9:$B$18,0)),FALSE())),"# Too many tags","")))</f>
        <v/>
      </c>
      <c r="R310" s="16"/>
      <c r="S310" s="19"/>
      <c r="T310" s="19"/>
      <c r="U310" s="19"/>
      <c r="V310" s="19"/>
      <c r="W310" s="19"/>
      <c r="X310" s="19"/>
      <c r="Y310" s="19"/>
      <c r="Z310" s="47" t="str">
        <f aca="false">IF(COUNT(U310:X310)=0,"",SUM(U310:X310))</f>
        <v/>
      </c>
      <c r="AA310" s="48" t="str">
        <f aca="false">IF(OR(Z310="",N(T310)=0),"",Z310/T310)</f>
        <v/>
      </c>
      <c r="AB310" s="45"/>
      <c r="AC310" s="51" t="str">
        <f aca="false">IF(A310="","",A310+N(C310)+ROW()/10^7)</f>
        <v/>
      </c>
      <c r="AD310" s="51" t="str">
        <f aca="false">IF(A310="","",TEXT(A310,"0")&amp;"|"&amp;COUNTIFS('Content Log'!$A$5:$A$504,A310,'Content Log'!$AC$5:$AC$504,"&lt;="&amp;AC310))</f>
        <v/>
      </c>
      <c r="AE310" s="51" t="str">
        <f aca="false">IF(A310="","",IFERROR(INDEX(Setup!$N$9:$N$14,MATCH(O310,Setup!$M$9:$M$14,0))&amp;" ","")&amp;IF(C310="","",TEXT(C310,"h:mm AM/PM")&amp;" ")&amp;D310&amp;IF(H310="",""," · "&amp;H310))</f>
        <v/>
      </c>
      <c r="AF310" s="51" t="str">
        <f aca="false">IF(OR(A310="",AA310=""),"",IF(AND(A310&gt;=Dashboard!$G$4,A310&lt;=Dashboard!$I$4),AA310+ROW()/10^9,""))</f>
        <v/>
      </c>
      <c r="AG310" s="51" t="str">
        <f aca="false">IF(A310="","",WEEKDAY(A310,2))</f>
        <v/>
      </c>
    </row>
    <row r="311" customFormat="false" ht="15" hidden="false" customHeight="false" outlineLevel="0" collapsed="false">
      <c r="A311" s="43"/>
      <c r="B311" s="11" t="str">
        <f aca="false">IF(A311="","",TEXT(A311,"ddd"))</f>
        <v/>
      </c>
      <c r="C311" s="44"/>
      <c r="D311" s="16"/>
      <c r="E311" s="16"/>
      <c r="F311" s="16"/>
      <c r="G311" s="16"/>
      <c r="H311" s="45"/>
      <c r="I311" s="45"/>
      <c r="J311" s="11" t="str">
        <f aca="false">IF(I311="","",LEN(I311))</f>
        <v/>
      </c>
      <c r="K311" s="16"/>
      <c r="L311" s="16"/>
      <c r="M311" s="11" t="str">
        <f aca="false">IF(L311="","",IFERROR(INDEX('Hashtag Bank'!$E$5:$E$104,MATCH(L311,'Hashtag Bank'!$B$5:$B$104,0)),""))</f>
        <v/>
      </c>
      <c r="N311" s="16"/>
      <c r="O311" s="16"/>
      <c r="P311" s="16"/>
      <c r="Q311" s="46" t="str">
        <f aca="true">IF(A311&amp;H311="","",TRIM(IF(AND(A311&lt;&gt;"",A311&lt;TODAY(),O311&lt;&gt;"Published",O311&lt;&gt;"Repurpose"),"⚠ Overdue ","")&amp;IF(AND(J311&lt;&gt;"",D311&lt;&gt;"",IFERROR(J311&gt;INDEX(Setup!$E$9:$E$18,MATCH(D311,Setup!$B$9:$B$18,0)),FALSE())),"✂ Caption too long ","")&amp;IF(AND(M311&lt;&gt;"",D311&lt;&gt;"",IFERROR(M311&gt;INDEX(Setup!$F$9:$F$18,MATCH(D311,Setup!$B$9:$B$18,0)),FALSE())),"# Too many tags","")))</f>
        <v/>
      </c>
      <c r="R311" s="16"/>
      <c r="S311" s="19"/>
      <c r="T311" s="19"/>
      <c r="U311" s="19"/>
      <c r="V311" s="19"/>
      <c r="W311" s="19"/>
      <c r="X311" s="19"/>
      <c r="Y311" s="19"/>
      <c r="Z311" s="47" t="str">
        <f aca="false">IF(COUNT(U311:X311)=0,"",SUM(U311:X311))</f>
        <v/>
      </c>
      <c r="AA311" s="48" t="str">
        <f aca="false">IF(OR(Z311="",N(T311)=0),"",Z311/T311)</f>
        <v/>
      </c>
      <c r="AB311" s="45"/>
      <c r="AC311" s="51" t="str">
        <f aca="false">IF(A311="","",A311+N(C311)+ROW()/10^7)</f>
        <v/>
      </c>
      <c r="AD311" s="51" t="str">
        <f aca="false">IF(A311="","",TEXT(A311,"0")&amp;"|"&amp;COUNTIFS('Content Log'!$A$5:$A$504,A311,'Content Log'!$AC$5:$AC$504,"&lt;="&amp;AC311))</f>
        <v/>
      </c>
      <c r="AE311" s="51" t="str">
        <f aca="false">IF(A311="","",IFERROR(INDEX(Setup!$N$9:$N$14,MATCH(O311,Setup!$M$9:$M$14,0))&amp;" ","")&amp;IF(C311="","",TEXT(C311,"h:mm AM/PM")&amp;" ")&amp;D311&amp;IF(H311="",""," · "&amp;H311))</f>
        <v/>
      </c>
      <c r="AF311" s="51" t="str">
        <f aca="false">IF(OR(A311="",AA311=""),"",IF(AND(A311&gt;=Dashboard!$G$4,A311&lt;=Dashboard!$I$4),AA311+ROW()/10^9,""))</f>
        <v/>
      </c>
      <c r="AG311" s="51" t="str">
        <f aca="false">IF(A311="","",WEEKDAY(A311,2))</f>
        <v/>
      </c>
    </row>
    <row r="312" customFormat="false" ht="15" hidden="false" customHeight="false" outlineLevel="0" collapsed="false">
      <c r="A312" s="43"/>
      <c r="B312" s="11" t="str">
        <f aca="false">IF(A312="","",TEXT(A312,"ddd"))</f>
        <v/>
      </c>
      <c r="C312" s="44"/>
      <c r="D312" s="16"/>
      <c r="E312" s="16"/>
      <c r="F312" s="16"/>
      <c r="G312" s="16"/>
      <c r="H312" s="45"/>
      <c r="I312" s="45"/>
      <c r="J312" s="11" t="str">
        <f aca="false">IF(I312="","",LEN(I312))</f>
        <v/>
      </c>
      <c r="K312" s="16"/>
      <c r="L312" s="16"/>
      <c r="M312" s="11" t="str">
        <f aca="false">IF(L312="","",IFERROR(INDEX('Hashtag Bank'!$E$5:$E$104,MATCH(L312,'Hashtag Bank'!$B$5:$B$104,0)),""))</f>
        <v/>
      </c>
      <c r="N312" s="16"/>
      <c r="O312" s="16"/>
      <c r="P312" s="16"/>
      <c r="Q312" s="46" t="str">
        <f aca="true">IF(A312&amp;H312="","",TRIM(IF(AND(A312&lt;&gt;"",A312&lt;TODAY(),O312&lt;&gt;"Published",O312&lt;&gt;"Repurpose"),"⚠ Overdue ","")&amp;IF(AND(J312&lt;&gt;"",D312&lt;&gt;"",IFERROR(J312&gt;INDEX(Setup!$E$9:$E$18,MATCH(D312,Setup!$B$9:$B$18,0)),FALSE())),"✂ Caption too long ","")&amp;IF(AND(M312&lt;&gt;"",D312&lt;&gt;"",IFERROR(M312&gt;INDEX(Setup!$F$9:$F$18,MATCH(D312,Setup!$B$9:$B$18,0)),FALSE())),"# Too many tags","")))</f>
        <v/>
      </c>
      <c r="R312" s="16"/>
      <c r="S312" s="19"/>
      <c r="T312" s="19"/>
      <c r="U312" s="19"/>
      <c r="V312" s="19"/>
      <c r="W312" s="19"/>
      <c r="X312" s="19"/>
      <c r="Y312" s="19"/>
      <c r="Z312" s="47" t="str">
        <f aca="false">IF(COUNT(U312:X312)=0,"",SUM(U312:X312))</f>
        <v/>
      </c>
      <c r="AA312" s="48" t="str">
        <f aca="false">IF(OR(Z312="",N(T312)=0),"",Z312/T312)</f>
        <v/>
      </c>
      <c r="AB312" s="45"/>
      <c r="AC312" s="51" t="str">
        <f aca="false">IF(A312="","",A312+N(C312)+ROW()/10^7)</f>
        <v/>
      </c>
      <c r="AD312" s="51" t="str">
        <f aca="false">IF(A312="","",TEXT(A312,"0")&amp;"|"&amp;COUNTIFS('Content Log'!$A$5:$A$504,A312,'Content Log'!$AC$5:$AC$504,"&lt;="&amp;AC312))</f>
        <v/>
      </c>
      <c r="AE312" s="51" t="str">
        <f aca="false">IF(A312="","",IFERROR(INDEX(Setup!$N$9:$N$14,MATCH(O312,Setup!$M$9:$M$14,0))&amp;" ","")&amp;IF(C312="","",TEXT(C312,"h:mm AM/PM")&amp;" ")&amp;D312&amp;IF(H312="",""," · "&amp;H312))</f>
        <v/>
      </c>
      <c r="AF312" s="51" t="str">
        <f aca="false">IF(OR(A312="",AA312=""),"",IF(AND(A312&gt;=Dashboard!$G$4,A312&lt;=Dashboard!$I$4),AA312+ROW()/10^9,""))</f>
        <v/>
      </c>
      <c r="AG312" s="51" t="str">
        <f aca="false">IF(A312="","",WEEKDAY(A312,2))</f>
        <v/>
      </c>
    </row>
    <row r="313" customFormat="false" ht="15" hidden="false" customHeight="false" outlineLevel="0" collapsed="false">
      <c r="A313" s="43"/>
      <c r="B313" s="11" t="str">
        <f aca="false">IF(A313="","",TEXT(A313,"ddd"))</f>
        <v/>
      </c>
      <c r="C313" s="44"/>
      <c r="D313" s="16"/>
      <c r="E313" s="16"/>
      <c r="F313" s="16"/>
      <c r="G313" s="16"/>
      <c r="H313" s="45"/>
      <c r="I313" s="45"/>
      <c r="J313" s="11" t="str">
        <f aca="false">IF(I313="","",LEN(I313))</f>
        <v/>
      </c>
      <c r="K313" s="16"/>
      <c r="L313" s="16"/>
      <c r="M313" s="11" t="str">
        <f aca="false">IF(L313="","",IFERROR(INDEX('Hashtag Bank'!$E$5:$E$104,MATCH(L313,'Hashtag Bank'!$B$5:$B$104,0)),""))</f>
        <v/>
      </c>
      <c r="N313" s="16"/>
      <c r="O313" s="16"/>
      <c r="P313" s="16"/>
      <c r="Q313" s="46" t="str">
        <f aca="true">IF(A313&amp;H313="","",TRIM(IF(AND(A313&lt;&gt;"",A313&lt;TODAY(),O313&lt;&gt;"Published",O313&lt;&gt;"Repurpose"),"⚠ Overdue ","")&amp;IF(AND(J313&lt;&gt;"",D313&lt;&gt;"",IFERROR(J313&gt;INDEX(Setup!$E$9:$E$18,MATCH(D313,Setup!$B$9:$B$18,0)),FALSE())),"✂ Caption too long ","")&amp;IF(AND(M313&lt;&gt;"",D313&lt;&gt;"",IFERROR(M313&gt;INDEX(Setup!$F$9:$F$18,MATCH(D313,Setup!$B$9:$B$18,0)),FALSE())),"# Too many tags","")))</f>
        <v/>
      </c>
      <c r="R313" s="16"/>
      <c r="S313" s="19"/>
      <c r="T313" s="19"/>
      <c r="U313" s="19"/>
      <c r="V313" s="19"/>
      <c r="W313" s="19"/>
      <c r="X313" s="19"/>
      <c r="Y313" s="19"/>
      <c r="Z313" s="47" t="str">
        <f aca="false">IF(COUNT(U313:X313)=0,"",SUM(U313:X313))</f>
        <v/>
      </c>
      <c r="AA313" s="48" t="str">
        <f aca="false">IF(OR(Z313="",N(T313)=0),"",Z313/T313)</f>
        <v/>
      </c>
      <c r="AB313" s="45"/>
      <c r="AC313" s="51" t="str">
        <f aca="false">IF(A313="","",A313+N(C313)+ROW()/10^7)</f>
        <v/>
      </c>
      <c r="AD313" s="51" t="str">
        <f aca="false">IF(A313="","",TEXT(A313,"0")&amp;"|"&amp;COUNTIFS('Content Log'!$A$5:$A$504,A313,'Content Log'!$AC$5:$AC$504,"&lt;="&amp;AC313))</f>
        <v/>
      </c>
      <c r="AE313" s="51" t="str">
        <f aca="false">IF(A313="","",IFERROR(INDEX(Setup!$N$9:$N$14,MATCH(O313,Setup!$M$9:$M$14,0))&amp;" ","")&amp;IF(C313="","",TEXT(C313,"h:mm AM/PM")&amp;" ")&amp;D313&amp;IF(H313="",""," · "&amp;H313))</f>
        <v/>
      </c>
      <c r="AF313" s="51" t="str">
        <f aca="false">IF(OR(A313="",AA313=""),"",IF(AND(A313&gt;=Dashboard!$G$4,A313&lt;=Dashboard!$I$4),AA313+ROW()/10^9,""))</f>
        <v/>
      </c>
      <c r="AG313" s="51" t="str">
        <f aca="false">IF(A313="","",WEEKDAY(A313,2))</f>
        <v/>
      </c>
    </row>
    <row r="314" customFormat="false" ht="15" hidden="false" customHeight="false" outlineLevel="0" collapsed="false">
      <c r="A314" s="43"/>
      <c r="B314" s="11" t="str">
        <f aca="false">IF(A314="","",TEXT(A314,"ddd"))</f>
        <v/>
      </c>
      <c r="C314" s="44"/>
      <c r="D314" s="16"/>
      <c r="E314" s="16"/>
      <c r="F314" s="16"/>
      <c r="G314" s="16"/>
      <c r="H314" s="45"/>
      <c r="I314" s="45"/>
      <c r="J314" s="11" t="str">
        <f aca="false">IF(I314="","",LEN(I314))</f>
        <v/>
      </c>
      <c r="K314" s="16"/>
      <c r="L314" s="16"/>
      <c r="M314" s="11" t="str">
        <f aca="false">IF(L314="","",IFERROR(INDEX('Hashtag Bank'!$E$5:$E$104,MATCH(L314,'Hashtag Bank'!$B$5:$B$104,0)),""))</f>
        <v/>
      </c>
      <c r="N314" s="16"/>
      <c r="O314" s="16"/>
      <c r="P314" s="16"/>
      <c r="Q314" s="46" t="str">
        <f aca="true">IF(A314&amp;H314="","",TRIM(IF(AND(A314&lt;&gt;"",A314&lt;TODAY(),O314&lt;&gt;"Published",O314&lt;&gt;"Repurpose"),"⚠ Overdue ","")&amp;IF(AND(J314&lt;&gt;"",D314&lt;&gt;"",IFERROR(J314&gt;INDEX(Setup!$E$9:$E$18,MATCH(D314,Setup!$B$9:$B$18,0)),FALSE())),"✂ Caption too long ","")&amp;IF(AND(M314&lt;&gt;"",D314&lt;&gt;"",IFERROR(M314&gt;INDEX(Setup!$F$9:$F$18,MATCH(D314,Setup!$B$9:$B$18,0)),FALSE())),"# Too many tags","")))</f>
        <v/>
      </c>
      <c r="R314" s="16"/>
      <c r="S314" s="19"/>
      <c r="T314" s="19"/>
      <c r="U314" s="19"/>
      <c r="V314" s="19"/>
      <c r="W314" s="19"/>
      <c r="X314" s="19"/>
      <c r="Y314" s="19"/>
      <c r="Z314" s="47" t="str">
        <f aca="false">IF(COUNT(U314:X314)=0,"",SUM(U314:X314))</f>
        <v/>
      </c>
      <c r="AA314" s="48" t="str">
        <f aca="false">IF(OR(Z314="",N(T314)=0),"",Z314/T314)</f>
        <v/>
      </c>
      <c r="AB314" s="45"/>
      <c r="AC314" s="51" t="str">
        <f aca="false">IF(A314="","",A314+N(C314)+ROW()/10^7)</f>
        <v/>
      </c>
      <c r="AD314" s="51" t="str">
        <f aca="false">IF(A314="","",TEXT(A314,"0")&amp;"|"&amp;COUNTIFS('Content Log'!$A$5:$A$504,A314,'Content Log'!$AC$5:$AC$504,"&lt;="&amp;AC314))</f>
        <v/>
      </c>
      <c r="AE314" s="51" t="str">
        <f aca="false">IF(A314="","",IFERROR(INDEX(Setup!$N$9:$N$14,MATCH(O314,Setup!$M$9:$M$14,0))&amp;" ","")&amp;IF(C314="","",TEXT(C314,"h:mm AM/PM")&amp;" ")&amp;D314&amp;IF(H314="",""," · "&amp;H314))</f>
        <v/>
      </c>
      <c r="AF314" s="51" t="str">
        <f aca="false">IF(OR(A314="",AA314=""),"",IF(AND(A314&gt;=Dashboard!$G$4,A314&lt;=Dashboard!$I$4),AA314+ROW()/10^9,""))</f>
        <v/>
      </c>
      <c r="AG314" s="51" t="str">
        <f aca="false">IF(A314="","",WEEKDAY(A314,2))</f>
        <v/>
      </c>
    </row>
    <row r="315" customFormat="false" ht="15" hidden="false" customHeight="false" outlineLevel="0" collapsed="false">
      <c r="A315" s="43"/>
      <c r="B315" s="11" t="str">
        <f aca="false">IF(A315="","",TEXT(A315,"ddd"))</f>
        <v/>
      </c>
      <c r="C315" s="44"/>
      <c r="D315" s="16"/>
      <c r="E315" s="16"/>
      <c r="F315" s="16"/>
      <c r="G315" s="16"/>
      <c r="H315" s="45"/>
      <c r="I315" s="45"/>
      <c r="J315" s="11" t="str">
        <f aca="false">IF(I315="","",LEN(I315))</f>
        <v/>
      </c>
      <c r="K315" s="16"/>
      <c r="L315" s="16"/>
      <c r="M315" s="11" t="str">
        <f aca="false">IF(L315="","",IFERROR(INDEX('Hashtag Bank'!$E$5:$E$104,MATCH(L315,'Hashtag Bank'!$B$5:$B$104,0)),""))</f>
        <v/>
      </c>
      <c r="N315" s="16"/>
      <c r="O315" s="16"/>
      <c r="P315" s="16"/>
      <c r="Q315" s="46" t="str">
        <f aca="true">IF(A315&amp;H315="","",TRIM(IF(AND(A315&lt;&gt;"",A315&lt;TODAY(),O315&lt;&gt;"Published",O315&lt;&gt;"Repurpose"),"⚠ Overdue ","")&amp;IF(AND(J315&lt;&gt;"",D315&lt;&gt;"",IFERROR(J315&gt;INDEX(Setup!$E$9:$E$18,MATCH(D315,Setup!$B$9:$B$18,0)),FALSE())),"✂ Caption too long ","")&amp;IF(AND(M315&lt;&gt;"",D315&lt;&gt;"",IFERROR(M315&gt;INDEX(Setup!$F$9:$F$18,MATCH(D315,Setup!$B$9:$B$18,0)),FALSE())),"# Too many tags","")))</f>
        <v/>
      </c>
      <c r="R315" s="16"/>
      <c r="S315" s="19"/>
      <c r="T315" s="19"/>
      <c r="U315" s="19"/>
      <c r="V315" s="19"/>
      <c r="W315" s="19"/>
      <c r="X315" s="19"/>
      <c r="Y315" s="19"/>
      <c r="Z315" s="47" t="str">
        <f aca="false">IF(COUNT(U315:X315)=0,"",SUM(U315:X315))</f>
        <v/>
      </c>
      <c r="AA315" s="48" t="str">
        <f aca="false">IF(OR(Z315="",N(T315)=0),"",Z315/T315)</f>
        <v/>
      </c>
      <c r="AB315" s="45"/>
      <c r="AC315" s="51" t="str">
        <f aca="false">IF(A315="","",A315+N(C315)+ROW()/10^7)</f>
        <v/>
      </c>
      <c r="AD315" s="51" t="str">
        <f aca="false">IF(A315="","",TEXT(A315,"0")&amp;"|"&amp;COUNTIFS('Content Log'!$A$5:$A$504,A315,'Content Log'!$AC$5:$AC$504,"&lt;="&amp;AC315))</f>
        <v/>
      </c>
      <c r="AE315" s="51" t="str">
        <f aca="false">IF(A315="","",IFERROR(INDEX(Setup!$N$9:$N$14,MATCH(O315,Setup!$M$9:$M$14,0))&amp;" ","")&amp;IF(C315="","",TEXT(C315,"h:mm AM/PM")&amp;" ")&amp;D315&amp;IF(H315="",""," · "&amp;H315))</f>
        <v/>
      </c>
      <c r="AF315" s="51" t="str">
        <f aca="false">IF(OR(A315="",AA315=""),"",IF(AND(A315&gt;=Dashboard!$G$4,A315&lt;=Dashboard!$I$4),AA315+ROW()/10^9,""))</f>
        <v/>
      </c>
      <c r="AG315" s="51" t="str">
        <f aca="false">IF(A315="","",WEEKDAY(A315,2))</f>
        <v/>
      </c>
    </row>
    <row r="316" customFormat="false" ht="15" hidden="false" customHeight="false" outlineLevel="0" collapsed="false">
      <c r="A316" s="43"/>
      <c r="B316" s="11" t="str">
        <f aca="false">IF(A316="","",TEXT(A316,"ddd"))</f>
        <v/>
      </c>
      <c r="C316" s="44"/>
      <c r="D316" s="16"/>
      <c r="E316" s="16"/>
      <c r="F316" s="16"/>
      <c r="G316" s="16"/>
      <c r="H316" s="45"/>
      <c r="I316" s="45"/>
      <c r="J316" s="11" t="str">
        <f aca="false">IF(I316="","",LEN(I316))</f>
        <v/>
      </c>
      <c r="K316" s="16"/>
      <c r="L316" s="16"/>
      <c r="M316" s="11" t="str">
        <f aca="false">IF(L316="","",IFERROR(INDEX('Hashtag Bank'!$E$5:$E$104,MATCH(L316,'Hashtag Bank'!$B$5:$B$104,0)),""))</f>
        <v/>
      </c>
      <c r="N316" s="16"/>
      <c r="O316" s="16"/>
      <c r="P316" s="16"/>
      <c r="Q316" s="46" t="str">
        <f aca="true">IF(A316&amp;H316="","",TRIM(IF(AND(A316&lt;&gt;"",A316&lt;TODAY(),O316&lt;&gt;"Published",O316&lt;&gt;"Repurpose"),"⚠ Overdue ","")&amp;IF(AND(J316&lt;&gt;"",D316&lt;&gt;"",IFERROR(J316&gt;INDEX(Setup!$E$9:$E$18,MATCH(D316,Setup!$B$9:$B$18,0)),FALSE())),"✂ Caption too long ","")&amp;IF(AND(M316&lt;&gt;"",D316&lt;&gt;"",IFERROR(M316&gt;INDEX(Setup!$F$9:$F$18,MATCH(D316,Setup!$B$9:$B$18,0)),FALSE())),"# Too many tags","")))</f>
        <v/>
      </c>
      <c r="R316" s="16"/>
      <c r="S316" s="19"/>
      <c r="T316" s="19"/>
      <c r="U316" s="19"/>
      <c r="V316" s="19"/>
      <c r="W316" s="19"/>
      <c r="X316" s="19"/>
      <c r="Y316" s="19"/>
      <c r="Z316" s="47" t="str">
        <f aca="false">IF(COUNT(U316:X316)=0,"",SUM(U316:X316))</f>
        <v/>
      </c>
      <c r="AA316" s="48" t="str">
        <f aca="false">IF(OR(Z316="",N(T316)=0),"",Z316/T316)</f>
        <v/>
      </c>
      <c r="AB316" s="45"/>
      <c r="AC316" s="51" t="str">
        <f aca="false">IF(A316="","",A316+N(C316)+ROW()/10^7)</f>
        <v/>
      </c>
      <c r="AD316" s="51" t="str">
        <f aca="false">IF(A316="","",TEXT(A316,"0")&amp;"|"&amp;COUNTIFS('Content Log'!$A$5:$A$504,A316,'Content Log'!$AC$5:$AC$504,"&lt;="&amp;AC316))</f>
        <v/>
      </c>
      <c r="AE316" s="51" t="str">
        <f aca="false">IF(A316="","",IFERROR(INDEX(Setup!$N$9:$N$14,MATCH(O316,Setup!$M$9:$M$14,0))&amp;" ","")&amp;IF(C316="","",TEXT(C316,"h:mm AM/PM")&amp;" ")&amp;D316&amp;IF(H316="",""," · "&amp;H316))</f>
        <v/>
      </c>
      <c r="AF316" s="51" t="str">
        <f aca="false">IF(OR(A316="",AA316=""),"",IF(AND(A316&gt;=Dashboard!$G$4,A316&lt;=Dashboard!$I$4),AA316+ROW()/10^9,""))</f>
        <v/>
      </c>
      <c r="AG316" s="51" t="str">
        <f aca="false">IF(A316="","",WEEKDAY(A316,2))</f>
        <v/>
      </c>
    </row>
    <row r="317" customFormat="false" ht="15" hidden="false" customHeight="false" outlineLevel="0" collapsed="false">
      <c r="A317" s="43"/>
      <c r="B317" s="11" t="str">
        <f aca="false">IF(A317="","",TEXT(A317,"ddd"))</f>
        <v/>
      </c>
      <c r="C317" s="44"/>
      <c r="D317" s="16"/>
      <c r="E317" s="16"/>
      <c r="F317" s="16"/>
      <c r="G317" s="16"/>
      <c r="H317" s="45"/>
      <c r="I317" s="45"/>
      <c r="J317" s="11" t="str">
        <f aca="false">IF(I317="","",LEN(I317))</f>
        <v/>
      </c>
      <c r="K317" s="16"/>
      <c r="L317" s="16"/>
      <c r="M317" s="11" t="str">
        <f aca="false">IF(L317="","",IFERROR(INDEX('Hashtag Bank'!$E$5:$E$104,MATCH(L317,'Hashtag Bank'!$B$5:$B$104,0)),""))</f>
        <v/>
      </c>
      <c r="N317" s="16"/>
      <c r="O317" s="16"/>
      <c r="P317" s="16"/>
      <c r="Q317" s="46" t="str">
        <f aca="true">IF(A317&amp;H317="","",TRIM(IF(AND(A317&lt;&gt;"",A317&lt;TODAY(),O317&lt;&gt;"Published",O317&lt;&gt;"Repurpose"),"⚠ Overdue ","")&amp;IF(AND(J317&lt;&gt;"",D317&lt;&gt;"",IFERROR(J317&gt;INDEX(Setup!$E$9:$E$18,MATCH(D317,Setup!$B$9:$B$18,0)),FALSE())),"✂ Caption too long ","")&amp;IF(AND(M317&lt;&gt;"",D317&lt;&gt;"",IFERROR(M317&gt;INDEX(Setup!$F$9:$F$18,MATCH(D317,Setup!$B$9:$B$18,0)),FALSE())),"# Too many tags","")))</f>
        <v/>
      </c>
      <c r="R317" s="16"/>
      <c r="S317" s="19"/>
      <c r="T317" s="19"/>
      <c r="U317" s="19"/>
      <c r="V317" s="19"/>
      <c r="W317" s="19"/>
      <c r="X317" s="19"/>
      <c r="Y317" s="19"/>
      <c r="Z317" s="47" t="str">
        <f aca="false">IF(COUNT(U317:X317)=0,"",SUM(U317:X317))</f>
        <v/>
      </c>
      <c r="AA317" s="48" t="str">
        <f aca="false">IF(OR(Z317="",N(T317)=0),"",Z317/T317)</f>
        <v/>
      </c>
      <c r="AB317" s="45"/>
      <c r="AC317" s="51" t="str">
        <f aca="false">IF(A317="","",A317+N(C317)+ROW()/10^7)</f>
        <v/>
      </c>
      <c r="AD317" s="51" t="str">
        <f aca="false">IF(A317="","",TEXT(A317,"0")&amp;"|"&amp;COUNTIFS('Content Log'!$A$5:$A$504,A317,'Content Log'!$AC$5:$AC$504,"&lt;="&amp;AC317))</f>
        <v/>
      </c>
      <c r="AE317" s="51" t="str">
        <f aca="false">IF(A317="","",IFERROR(INDEX(Setup!$N$9:$N$14,MATCH(O317,Setup!$M$9:$M$14,0))&amp;" ","")&amp;IF(C317="","",TEXT(C317,"h:mm AM/PM")&amp;" ")&amp;D317&amp;IF(H317="",""," · "&amp;H317))</f>
        <v/>
      </c>
      <c r="AF317" s="51" t="str">
        <f aca="false">IF(OR(A317="",AA317=""),"",IF(AND(A317&gt;=Dashboard!$G$4,A317&lt;=Dashboard!$I$4),AA317+ROW()/10^9,""))</f>
        <v/>
      </c>
      <c r="AG317" s="51" t="str">
        <f aca="false">IF(A317="","",WEEKDAY(A317,2))</f>
        <v/>
      </c>
    </row>
    <row r="318" customFormat="false" ht="15" hidden="false" customHeight="false" outlineLevel="0" collapsed="false">
      <c r="A318" s="43"/>
      <c r="B318" s="11" t="str">
        <f aca="false">IF(A318="","",TEXT(A318,"ddd"))</f>
        <v/>
      </c>
      <c r="C318" s="44"/>
      <c r="D318" s="16"/>
      <c r="E318" s="16"/>
      <c r="F318" s="16"/>
      <c r="G318" s="16"/>
      <c r="H318" s="45"/>
      <c r="I318" s="45"/>
      <c r="J318" s="11" t="str">
        <f aca="false">IF(I318="","",LEN(I318))</f>
        <v/>
      </c>
      <c r="K318" s="16"/>
      <c r="L318" s="16"/>
      <c r="M318" s="11" t="str">
        <f aca="false">IF(L318="","",IFERROR(INDEX('Hashtag Bank'!$E$5:$E$104,MATCH(L318,'Hashtag Bank'!$B$5:$B$104,0)),""))</f>
        <v/>
      </c>
      <c r="N318" s="16"/>
      <c r="O318" s="16"/>
      <c r="P318" s="16"/>
      <c r="Q318" s="46" t="str">
        <f aca="true">IF(A318&amp;H318="","",TRIM(IF(AND(A318&lt;&gt;"",A318&lt;TODAY(),O318&lt;&gt;"Published",O318&lt;&gt;"Repurpose"),"⚠ Overdue ","")&amp;IF(AND(J318&lt;&gt;"",D318&lt;&gt;"",IFERROR(J318&gt;INDEX(Setup!$E$9:$E$18,MATCH(D318,Setup!$B$9:$B$18,0)),FALSE())),"✂ Caption too long ","")&amp;IF(AND(M318&lt;&gt;"",D318&lt;&gt;"",IFERROR(M318&gt;INDEX(Setup!$F$9:$F$18,MATCH(D318,Setup!$B$9:$B$18,0)),FALSE())),"# Too many tags","")))</f>
        <v/>
      </c>
      <c r="R318" s="16"/>
      <c r="S318" s="19"/>
      <c r="T318" s="19"/>
      <c r="U318" s="19"/>
      <c r="V318" s="19"/>
      <c r="W318" s="19"/>
      <c r="X318" s="19"/>
      <c r="Y318" s="19"/>
      <c r="Z318" s="47" t="str">
        <f aca="false">IF(COUNT(U318:X318)=0,"",SUM(U318:X318))</f>
        <v/>
      </c>
      <c r="AA318" s="48" t="str">
        <f aca="false">IF(OR(Z318="",N(T318)=0),"",Z318/T318)</f>
        <v/>
      </c>
      <c r="AB318" s="45"/>
      <c r="AC318" s="51" t="str">
        <f aca="false">IF(A318="","",A318+N(C318)+ROW()/10^7)</f>
        <v/>
      </c>
      <c r="AD318" s="51" t="str">
        <f aca="false">IF(A318="","",TEXT(A318,"0")&amp;"|"&amp;COUNTIFS('Content Log'!$A$5:$A$504,A318,'Content Log'!$AC$5:$AC$504,"&lt;="&amp;AC318))</f>
        <v/>
      </c>
      <c r="AE318" s="51" t="str">
        <f aca="false">IF(A318="","",IFERROR(INDEX(Setup!$N$9:$N$14,MATCH(O318,Setup!$M$9:$M$14,0))&amp;" ","")&amp;IF(C318="","",TEXT(C318,"h:mm AM/PM")&amp;" ")&amp;D318&amp;IF(H318="",""," · "&amp;H318))</f>
        <v/>
      </c>
      <c r="AF318" s="51" t="str">
        <f aca="false">IF(OR(A318="",AA318=""),"",IF(AND(A318&gt;=Dashboard!$G$4,A318&lt;=Dashboard!$I$4),AA318+ROW()/10^9,""))</f>
        <v/>
      </c>
      <c r="AG318" s="51" t="str">
        <f aca="false">IF(A318="","",WEEKDAY(A318,2))</f>
        <v/>
      </c>
    </row>
    <row r="319" customFormat="false" ht="15" hidden="false" customHeight="false" outlineLevel="0" collapsed="false">
      <c r="A319" s="43"/>
      <c r="B319" s="11" t="str">
        <f aca="false">IF(A319="","",TEXT(A319,"ddd"))</f>
        <v/>
      </c>
      <c r="C319" s="44"/>
      <c r="D319" s="16"/>
      <c r="E319" s="16"/>
      <c r="F319" s="16"/>
      <c r="G319" s="16"/>
      <c r="H319" s="45"/>
      <c r="I319" s="45"/>
      <c r="J319" s="11" t="str">
        <f aca="false">IF(I319="","",LEN(I319))</f>
        <v/>
      </c>
      <c r="K319" s="16"/>
      <c r="L319" s="16"/>
      <c r="M319" s="11" t="str">
        <f aca="false">IF(L319="","",IFERROR(INDEX('Hashtag Bank'!$E$5:$E$104,MATCH(L319,'Hashtag Bank'!$B$5:$B$104,0)),""))</f>
        <v/>
      </c>
      <c r="N319" s="16"/>
      <c r="O319" s="16"/>
      <c r="P319" s="16"/>
      <c r="Q319" s="46" t="str">
        <f aca="true">IF(A319&amp;H319="","",TRIM(IF(AND(A319&lt;&gt;"",A319&lt;TODAY(),O319&lt;&gt;"Published",O319&lt;&gt;"Repurpose"),"⚠ Overdue ","")&amp;IF(AND(J319&lt;&gt;"",D319&lt;&gt;"",IFERROR(J319&gt;INDEX(Setup!$E$9:$E$18,MATCH(D319,Setup!$B$9:$B$18,0)),FALSE())),"✂ Caption too long ","")&amp;IF(AND(M319&lt;&gt;"",D319&lt;&gt;"",IFERROR(M319&gt;INDEX(Setup!$F$9:$F$18,MATCH(D319,Setup!$B$9:$B$18,0)),FALSE())),"# Too many tags","")))</f>
        <v/>
      </c>
      <c r="R319" s="16"/>
      <c r="S319" s="19"/>
      <c r="T319" s="19"/>
      <c r="U319" s="19"/>
      <c r="V319" s="19"/>
      <c r="W319" s="19"/>
      <c r="X319" s="19"/>
      <c r="Y319" s="19"/>
      <c r="Z319" s="47" t="str">
        <f aca="false">IF(COUNT(U319:X319)=0,"",SUM(U319:X319))</f>
        <v/>
      </c>
      <c r="AA319" s="48" t="str">
        <f aca="false">IF(OR(Z319="",N(T319)=0),"",Z319/T319)</f>
        <v/>
      </c>
      <c r="AB319" s="45"/>
      <c r="AC319" s="51" t="str">
        <f aca="false">IF(A319="","",A319+N(C319)+ROW()/10^7)</f>
        <v/>
      </c>
      <c r="AD319" s="51" t="str">
        <f aca="false">IF(A319="","",TEXT(A319,"0")&amp;"|"&amp;COUNTIFS('Content Log'!$A$5:$A$504,A319,'Content Log'!$AC$5:$AC$504,"&lt;="&amp;AC319))</f>
        <v/>
      </c>
      <c r="AE319" s="51" t="str">
        <f aca="false">IF(A319="","",IFERROR(INDEX(Setup!$N$9:$N$14,MATCH(O319,Setup!$M$9:$M$14,0))&amp;" ","")&amp;IF(C319="","",TEXT(C319,"h:mm AM/PM")&amp;" ")&amp;D319&amp;IF(H319="",""," · "&amp;H319))</f>
        <v/>
      </c>
      <c r="AF319" s="51" t="str">
        <f aca="false">IF(OR(A319="",AA319=""),"",IF(AND(A319&gt;=Dashboard!$G$4,A319&lt;=Dashboard!$I$4),AA319+ROW()/10^9,""))</f>
        <v/>
      </c>
      <c r="AG319" s="51" t="str">
        <f aca="false">IF(A319="","",WEEKDAY(A319,2))</f>
        <v/>
      </c>
    </row>
    <row r="320" customFormat="false" ht="15" hidden="false" customHeight="false" outlineLevel="0" collapsed="false">
      <c r="A320" s="43"/>
      <c r="B320" s="11" t="str">
        <f aca="false">IF(A320="","",TEXT(A320,"ddd"))</f>
        <v/>
      </c>
      <c r="C320" s="44"/>
      <c r="D320" s="16"/>
      <c r="E320" s="16"/>
      <c r="F320" s="16"/>
      <c r="G320" s="16"/>
      <c r="H320" s="45"/>
      <c r="I320" s="45"/>
      <c r="J320" s="11" t="str">
        <f aca="false">IF(I320="","",LEN(I320))</f>
        <v/>
      </c>
      <c r="K320" s="16"/>
      <c r="L320" s="16"/>
      <c r="M320" s="11" t="str">
        <f aca="false">IF(L320="","",IFERROR(INDEX('Hashtag Bank'!$E$5:$E$104,MATCH(L320,'Hashtag Bank'!$B$5:$B$104,0)),""))</f>
        <v/>
      </c>
      <c r="N320" s="16"/>
      <c r="O320" s="16"/>
      <c r="P320" s="16"/>
      <c r="Q320" s="46" t="str">
        <f aca="true">IF(A320&amp;H320="","",TRIM(IF(AND(A320&lt;&gt;"",A320&lt;TODAY(),O320&lt;&gt;"Published",O320&lt;&gt;"Repurpose"),"⚠ Overdue ","")&amp;IF(AND(J320&lt;&gt;"",D320&lt;&gt;"",IFERROR(J320&gt;INDEX(Setup!$E$9:$E$18,MATCH(D320,Setup!$B$9:$B$18,0)),FALSE())),"✂ Caption too long ","")&amp;IF(AND(M320&lt;&gt;"",D320&lt;&gt;"",IFERROR(M320&gt;INDEX(Setup!$F$9:$F$18,MATCH(D320,Setup!$B$9:$B$18,0)),FALSE())),"# Too many tags","")))</f>
        <v/>
      </c>
      <c r="R320" s="16"/>
      <c r="S320" s="19"/>
      <c r="T320" s="19"/>
      <c r="U320" s="19"/>
      <c r="V320" s="19"/>
      <c r="W320" s="19"/>
      <c r="X320" s="19"/>
      <c r="Y320" s="19"/>
      <c r="Z320" s="47" t="str">
        <f aca="false">IF(COUNT(U320:X320)=0,"",SUM(U320:X320))</f>
        <v/>
      </c>
      <c r="AA320" s="48" t="str">
        <f aca="false">IF(OR(Z320="",N(T320)=0),"",Z320/T320)</f>
        <v/>
      </c>
      <c r="AB320" s="45"/>
      <c r="AC320" s="51" t="str">
        <f aca="false">IF(A320="","",A320+N(C320)+ROW()/10^7)</f>
        <v/>
      </c>
      <c r="AD320" s="51" t="str">
        <f aca="false">IF(A320="","",TEXT(A320,"0")&amp;"|"&amp;COUNTIFS('Content Log'!$A$5:$A$504,A320,'Content Log'!$AC$5:$AC$504,"&lt;="&amp;AC320))</f>
        <v/>
      </c>
      <c r="AE320" s="51" t="str">
        <f aca="false">IF(A320="","",IFERROR(INDEX(Setup!$N$9:$N$14,MATCH(O320,Setup!$M$9:$M$14,0))&amp;" ","")&amp;IF(C320="","",TEXT(C320,"h:mm AM/PM")&amp;" ")&amp;D320&amp;IF(H320="",""," · "&amp;H320))</f>
        <v/>
      </c>
      <c r="AF320" s="51" t="str">
        <f aca="false">IF(OR(A320="",AA320=""),"",IF(AND(A320&gt;=Dashboard!$G$4,A320&lt;=Dashboard!$I$4),AA320+ROW()/10^9,""))</f>
        <v/>
      </c>
      <c r="AG320" s="51" t="str">
        <f aca="false">IF(A320="","",WEEKDAY(A320,2))</f>
        <v/>
      </c>
    </row>
    <row r="321" customFormat="false" ht="15" hidden="false" customHeight="false" outlineLevel="0" collapsed="false">
      <c r="A321" s="43"/>
      <c r="B321" s="11" t="str">
        <f aca="false">IF(A321="","",TEXT(A321,"ddd"))</f>
        <v/>
      </c>
      <c r="C321" s="44"/>
      <c r="D321" s="16"/>
      <c r="E321" s="16"/>
      <c r="F321" s="16"/>
      <c r="G321" s="16"/>
      <c r="H321" s="45"/>
      <c r="I321" s="45"/>
      <c r="J321" s="11" t="str">
        <f aca="false">IF(I321="","",LEN(I321))</f>
        <v/>
      </c>
      <c r="K321" s="16"/>
      <c r="L321" s="16"/>
      <c r="M321" s="11" t="str">
        <f aca="false">IF(L321="","",IFERROR(INDEX('Hashtag Bank'!$E$5:$E$104,MATCH(L321,'Hashtag Bank'!$B$5:$B$104,0)),""))</f>
        <v/>
      </c>
      <c r="N321" s="16"/>
      <c r="O321" s="16"/>
      <c r="P321" s="16"/>
      <c r="Q321" s="46" t="str">
        <f aca="true">IF(A321&amp;H321="","",TRIM(IF(AND(A321&lt;&gt;"",A321&lt;TODAY(),O321&lt;&gt;"Published",O321&lt;&gt;"Repurpose"),"⚠ Overdue ","")&amp;IF(AND(J321&lt;&gt;"",D321&lt;&gt;"",IFERROR(J321&gt;INDEX(Setup!$E$9:$E$18,MATCH(D321,Setup!$B$9:$B$18,0)),FALSE())),"✂ Caption too long ","")&amp;IF(AND(M321&lt;&gt;"",D321&lt;&gt;"",IFERROR(M321&gt;INDEX(Setup!$F$9:$F$18,MATCH(D321,Setup!$B$9:$B$18,0)),FALSE())),"# Too many tags","")))</f>
        <v/>
      </c>
      <c r="R321" s="16"/>
      <c r="S321" s="19"/>
      <c r="T321" s="19"/>
      <c r="U321" s="19"/>
      <c r="V321" s="19"/>
      <c r="W321" s="19"/>
      <c r="X321" s="19"/>
      <c r="Y321" s="19"/>
      <c r="Z321" s="47" t="str">
        <f aca="false">IF(COUNT(U321:X321)=0,"",SUM(U321:X321))</f>
        <v/>
      </c>
      <c r="AA321" s="48" t="str">
        <f aca="false">IF(OR(Z321="",N(T321)=0),"",Z321/T321)</f>
        <v/>
      </c>
      <c r="AB321" s="45"/>
      <c r="AC321" s="51" t="str">
        <f aca="false">IF(A321="","",A321+N(C321)+ROW()/10^7)</f>
        <v/>
      </c>
      <c r="AD321" s="51" t="str">
        <f aca="false">IF(A321="","",TEXT(A321,"0")&amp;"|"&amp;COUNTIFS('Content Log'!$A$5:$A$504,A321,'Content Log'!$AC$5:$AC$504,"&lt;="&amp;AC321))</f>
        <v/>
      </c>
      <c r="AE321" s="51" t="str">
        <f aca="false">IF(A321="","",IFERROR(INDEX(Setup!$N$9:$N$14,MATCH(O321,Setup!$M$9:$M$14,0))&amp;" ","")&amp;IF(C321="","",TEXT(C321,"h:mm AM/PM")&amp;" ")&amp;D321&amp;IF(H321="",""," · "&amp;H321))</f>
        <v/>
      </c>
      <c r="AF321" s="51" t="str">
        <f aca="false">IF(OR(A321="",AA321=""),"",IF(AND(A321&gt;=Dashboard!$G$4,A321&lt;=Dashboard!$I$4),AA321+ROW()/10^9,""))</f>
        <v/>
      </c>
      <c r="AG321" s="51" t="str">
        <f aca="false">IF(A321="","",WEEKDAY(A321,2))</f>
        <v/>
      </c>
    </row>
    <row r="322" customFormat="false" ht="15" hidden="false" customHeight="false" outlineLevel="0" collapsed="false">
      <c r="A322" s="43"/>
      <c r="B322" s="11" t="str">
        <f aca="false">IF(A322="","",TEXT(A322,"ddd"))</f>
        <v/>
      </c>
      <c r="C322" s="44"/>
      <c r="D322" s="16"/>
      <c r="E322" s="16"/>
      <c r="F322" s="16"/>
      <c r="G322" s="16"/>
      <c r="H322" s="45"/>
      <c r="I322" s="45"/>
      <c r="J322" s="11" t="str">
        <f aca="false">IF(I322="","",LEN(I322))</f>
        <v/>
      </c>
      <c r="K322" s="16"/>
      <c r="L322" s="16"/>
      <c r="M322" s="11" t="str">
        <f aca="false">IF(L322="","",IFERROR(INDEX('Hashtag Bank'!$E$5:$E$104,MATCH(L322,'Hashtag Bank'!$B$5:$B$104,0)),""))</f>
        <v/>
      </c>
      <c r="N322" s="16"/>
      <c r="O322" s="16"/>
      <c r="P322" s="16"/>
      <c r="Q322" s="46" t="str">
        <f aca="true">IF(A322&amp;H322="","",TRIM(IF(AND(A322&lt;&gt;"",A322&lt;TODAY(),O322&lt;&gt;"Published",O322&lt;&gt;"Repurpose"),"⚠ Overdue ","")&amp;IF(AND(J322&lt;&gt;"",D322&lt;&gt;"",IFERROR(J322&gt;INDEX(Setup!$E$9:$E$18,MATCH(D322,Setup!$B$9:$B$18,0)),FALSE())),"✂ Caption too long ","")&amp;IF(AND(M322&lt;&gt;"",D322&lt;&gt;"",IFERROR(M322&gt;INDEX(Setup!$F$9:$F$18,MATCH(D322,Setup!$B$9:$B$18,0)),FALSE())),"# Too many tags","")))</f>
        <v/>
      </c>
      <c r="R322" s="16"/>
      <c r="S322" s="19"/>
      <c r="T322" s="19"/>
      <c r="U322" s="19"/>
      <c r="V322" s="19"/>
      <c r="W322" s="19"/>
      <c r="X322" s="19"/>
      <c r="Y322" s="19"/>
      <c r="Z322" s="47" t="str">
        <f aca="false">IF(COUNT(U322:X322)=0,"",SUM(U322:X322))</f>
        <v/>
      </c>
      <c r="AA322" s="48" t="str">
        <f aca="false">IF(OR(Z322="",N(T322)=0),"",Z322/T322)</f>
        <v/>
      </c>
      <c r="AB322" s="45"/>
      <c r="AC322" s="51" t="str">
        <f aca="false">IF(A322="","",A322+N(C322)+ROW()/10^7)</f>
        <v/>
      </c>
      <c r="AD322" s="51" t="str">
        <f aca="false">IF(A322="","",TEXT(A322,"0")&amp;"|"&amp;COUNTIFS('Content Log'!$A$5:$A$504,A322,'Content Log'!$AC$5:$AC$504,"&lt;="&amp;AC322))</f>
        <v/>
      </c>
      <c r="AE322" s="51" t="str">
        <f aca="false">IF(A322="","",IFERROR(INDEX(Setup!$N$9:$N$14,MATCH(O322,Setup!$M$9:$M$14,0))&amp;" ","")&amp;IF(C322="","",TEXT(C322,"h:mm AM/PM")&amp;" ")&amp;D322&amp;IF(H322="",""," · "&amp;H322))</f>
        <v/>
      </c>
      <c r="AF322" s="51" t="str">
        <f aca="false">IF(OR(A322="",AA322=""),"",IF(AND(A322&gt;=Dashboard!$G$4,A322&lt;=Dashboard!$I$4),AA322+ROW()/10^9,""))</f>
        <v/>
      </c>
      <c r="AG322" s="51" t="str">
        <f aca="false">IF(A322="","",WEEKDAY(A322,2))</f>
        <v/>
      </c>
    </row>
    <row r="323" customFormat="false" ht="15" hidden="false" customHeight="false" outlineLevel="0" collapsed="false">
      <c r="A323" s="43"/>
      <c r="B323" s="11" t="str">
        <f aca="false">IF(A323="","",TEXT(A323,"ddd"))</f>
        <v/>
      </c>
      <c r="C323" s="44"/>
      <c r="D323" s="16"/>
      <c r="E323" s="16"/>
      <c r="F323" s="16"/>
      <c r="G323" s="16"/>
      <c r="H323" s="45"/>
      <c r="I323" s="45"/>
      <c r="J323" s="11" t="str">
        <f aca="false">IF(I323="","",LEN(I323))</f>
        <v/>
      </c>
      <c r="K323" s="16"/>
      <c r="L323" s="16"/>
      <c r="M323" s="11" t="str">
        <f aca="false">IF(L323="","",IFERROR(INDEX('Hashtag Bank'!$E$5:$E$104,MATCH(L323,'Hashtag Bank'!$B$5:$B$104,0)),""))</f>
        <v/>
      </c>
      <c r="N323" s="16"/>
      <c r="O323" s="16"/>
      <c r="P323" s="16"/>
      <c r="Q323" s="46" t="str">
        <f aca="true">IF(A323&amp;H323="","",TRIM(IF(AND(A323&lt;&gt;"",A323&lt;TODAY(),O323&lt;&gt;"Published",O323&lt;&gt;"Repurpose"),"⚠ Overdue ","")&amp;IF(AND(J323&lt;&gt;"",D323&lt;&gt;"",IFERROR(J323&gt;INDEX(Setup!$E$9:$E$18,MATCH(D323,Setup!$B$9:$B$18,0)),FALSE())),"✂ Caption too long ","")&amp;IF(AND(M323&lt;&gt;"",D323&lt;&gt;"",IFERROR(M323&gt;INDEX(Setup!$F$9:$F$18,MATCH(D323,Setup!$B$9:$B$18,0)),FALSE())),"# Too many tags","")))</f>
        <v/>
      </c>
      <c r="R323" s="16"/>
      <c r="S323" s="19"/>
      <c r="T323" s="19"/>
      <c r="U323" s="19"/>
      <c r="V323" s="19"/>
      <c r="W323" s="19"/>
      <c r="X323" s="19"/>
      <c r="Y323" s="19"/>
      <c r="Z323" s="47" t="str">
        <f aca="false">IF(COUNT(U323:X323)=0,"",SUM(U323:X323))</f>
        <v/>
      </c>
      <c r="AA323" s="48" t="str">
        <f aca="false">IF(OR(Z323="",N(T323)=0),"",Z323/T323)</f>
        <v/>
      </c>
      <c r="AB323" s="45"/>
      <c r="AC323" s="51" t="str">
        <f aca="false">IF(A323="","",A323+N(C323)+ROW()/10^7)</f>
        <v/>
      </c>
      <c r="AD323" s="51" t="str">
        <f aca="false">IF(A323="","",TEXT(A323,"0")&amp;"|"&amp;COUNTIFS('Content Log'!$A$5:$A$504,A323,'Content Log'!$AC$5:$AC$504,"&lt;="&amp;AC323))</f>
        <v/>
      </c>
      <c r="AE323" s="51" t="str">
        <f aca="false">IF(A323="","",IFERROR(INDEX(Setup!$N$9:$N$14,MATCH(O323,Setup!$M$9:$M$14,0))&amp;" ","")&amp;IF(C323="","",TEXT(C323,"h:mm AM/PM")&amp;" ")&amp;D323&amp;IF(H323="",""," · "&amp;H323))</f>
        <v/>
      </c>
      <c r="AF323" s="51" t="str">
        <f aca="false">IF(OR(A323="",AA323=""),"",IF(AND(A323&gt;=Dashboard!$G$4,A323&lt;=Dashboard!$I$4),AA323+ROW()/10^9,""))</f>
        <v/>
      </c>
      <c r="AG323" s="51" t="str">
        <f aca="false">IF(A323="","",WEEKDAY(A323,2))</f>
        <v/>
      </c>
    </row>
    <row r="324" customFormat="false" ht="15" hidden="false" customHeight="false" outlineLevel="0" collapsed="false">
      <c r="A324" s="43"/>
      <c r="B324" s="11" t="str">
        <f aca="false">IF(A324="","",TEXT(A324,"ddd"))</f>
        <v/>
      </c>
      <c r="C324" s="44"/>
      <c r="D324" s="16"/>
      <c r="E324" s="16"/>
      <c r="F324" s="16"/>
      <c r="G324" s="16"/>
      <c r="H324" s="45"/>
      <c r="I324" s="45"/>
      <c r="J324" s="11" t="str">
        <f aca="false">IF(I324="","",LEN(I324))</f>
        <v/>
      </c>
      <c r="K324" s="16"/>
      <c r="L324" s="16"/>
      <c r="M324" s="11" t="str">
        <f aca="false">IF(L324="","",IFERROR(INDEX('Hashtag Bank'!$E$5:$E$104,MATCH(L324,'Hashtag Bank'!$B$5:$B$104,0)),""))</f>
        <v/>
      </c>
      <c r="N324" s="16"/>
      <c r="O324" s="16"/>
      <c r="P324" s="16"/>
      <c r="Q324" s="46" t="str">
        <f aca="true">IF(A324&amp;H324="","",TRIM(IF(AND(A324&lt;&gt;"",A324&lt;TODAY(),O324&lt;&gt;"Published",O324&lt;&gt;"Repurpose"),"⚠ Overdue ","")&amp;IF(AND(J324&lt;&gt;"",D324&lt;&gt;"",IFERROR(J324&gt;INDEX(Setup!$E$9:$E$18,MATCH(D324,Setup!$B$9:$B$18,0)),FALSE())),"✂ Caption too long ","")&amp;IF(AND(M324&lt;&gt;"",D324&lt;&gt;"",IFERROR(M324&gt;INDEX(Setup!$F$9:$F$18,MATCH(D324,Setup!$B$9:$B$18,0)),FALSE())),"# Too many tags","")))</f>
        <v/>
      </c>
      <c r="R324" s="16"/>
      <c r="S324" s="19"/>
      <c r="T324" s="19"/>
      <c r="U324" s="19"/>
      <c r="V324" s="19"/>
      <c r="W324" s="19"/>
      <c r="X324" s="19"/>
      <c r="Y324" s="19"/>
      <c r="Z324" s="47" t="str">
        <f aca="false">IF(COUNT(U324:X324)=0,"",SUM(U324:X324))</f>
        <v/>
      </c>
      <c r="AA324" s="48" t="str">
        <f aca="false">IF(OR(Z324="",N(T324)=0),"",Z324/T324)</f>
        <v/>
      </c>
      <c r="AB324" s="45"/>
      <c r="AC324" s="51" t="str">
        <f aca="false">IF(A324="","",A324+N(C324)+ROW()/10^7)</f>
        <v/>
      </c>
      <c r="AD324" s="51" t="str">
        <f aca="false">IF(A324="","",TEXT(A324,"0")&amp;"|"&amp;COUNTIFS('Content Log'!$A$5:$A$504,A324,'Content Log'!$AC$5:$AC$504,"&lt;="&amp;AC324))</f>
        <v/>
      </c>
      <c r="AE324" s="51" t="str">
        <f aca="false">IF(A324="","",IFERROR(INDEX(Setup!$N$9:$N$14,MATCH(O324,Setup!$M$9:$M$14,0))&amp;" ","")&amp;IF(C324="","",TEXT(C324,"h:mm AM/PM")&amp;" ")&amp;D324&amp;IF(H324="",""," · "&amp;H324))</f>
        <v/>
      </c>
      <c r="AF324" s="51" t="str">
        <f aca="false">IF(OR(A324="",AA324=""),"",IF(AND(A324&gt;=Dashboard!$G$4,A324&lt;=Dashboard!$I$4),AA324+ROW()/10^9,""))</f>
        <v/>
      </c>
      <c r="AG324" s="51" t="str">
        <f aca="false">IF(A324="","",WEEKDAY(A324,2))</f>
        <v/>
      </c>
    </row>
    <row r="325" customFormat="false" ht="15" hidden="false" customHeight="false" outlineLevel="0" collapsed="false">
      <c r="A325" s="43"/>
      <c r="B325" s="11" t="str">
        <f aca="false">IF(A325="","",TEXT(A325,"ddd"))</f>
        <v/>
      </c>
      <c r="C325" s="44"/>
      <c r="D325" s="16"/>
      <c r="E325" s="16"/>
      <c r="F325" s="16"/>
      <c r="G325" s="16"/>
      <c r="H325" s="45"/>
      <c r="I325" s="45"/>
      <c r="J325" s="11" t="str">
        <f aca="false">IF(I325="","",LEN(I325))</f>
        <v/>
      </c>
      <c r="K325" s="16"/>
      <c r="L325" s="16"/>
      <c r="M325" s="11" t="str">
        <f aca="false">IF(L325="","",IFERROR(INDEX('Hashtag Bank'!$E$5:$E$104,MATCH(L325,'Hashtag Bank'!$B$5:$B$104,0)),""))</f>
        <v/>
      </c>
      <c r="N325" s="16"/>
      <c r="O325" s="16"/>
      <c r="P325" s="16"/>
      <c r="Q325" s="46" t="str">
        <f aca="true">IF(A325&amp;H325="","",TRIM(IF(AND(A325&lt;&gt;"",A325&lt;TODAY(),O325&lt;&gt;"Published",O325&lt;&gt;"Repurpose"),"⚠ Overdue ","")&amp;IF(AND(J325&lt;&gt;"",D325&lt;&gt;"",IFERROR(J325&gt;INDEX(Setup!$E$9:$E$18,MATCH(D325,Setup!$B$9:$B$18,0)),FALSE())),"✂ Caption too long ","")&amp;IF(AND(M325&lt;&gt;"",D325&lt;&gt;"",IFERROR(M325&gt;INDEX(Setup!$F$9:$F$18,MATCH(D325,Setup!$B$9:$B$18,0)),FALSE())),"# Too many tags","")))</f>
        <v/>
      </c>
      <c r="R325" s="16"/>
      <c r="S325" s="19"/>
      <c r="T325" s="19"/>
      <c r="U325" s="19"/>
      <c r="V325" s="19"/>
      <c r="W325" s="19"/>
      <c r="X325" s="19"/>
      <c r="Y325" s="19"/>
      <c r="Z325" s="47" t="str">
        <f aca="false">IF(COUNT(U325:X325)=0,"",SUM(U325:X325))</f>
        <v/>
      </c>
      <c r="AA325" s="48" t="str">
        <f aca="false">IF(OR(Z325="",N(T325)=0),"",Z325/T325)</f>
        <v/>
      </c>
      <c r="AB325" s="45"/>
      <c r="AC325" s="51" t="str">
        <f aca="false">IF(A325="","",A325+N(C325)+ROW()/10^7)</f>
        <v/>
      </c>
      <c r="AD325" s="51" t="str">
        <f aca="false">IF(A325="","",TEXT(A325,"0")&amp;"|"&amp;COUNTIFS('Content Log'!$A$5:$A$504,A325,'Content Log'!$AC$5:$AC$504,"&lt;="&amp;AC325))</f>
        <v/>
      </c>
      <c r="AE325" s="51" t="str">
        <f aca="false">IF(A325="","",IFERROR(INDEX(Setup!$N$9:$N$14,MATCH(O325,Setup!$M$9:$M$14,0))&amp;" ","")&amp;IF(C325="","",TEXT(C325,"h:mm AM/PM")&amp;" ")&amp;D325&amp;IF(H325="",""," · "&amp;H325))</f>
        <v/>
      </c>
      <c r="AF325" s="51" t="str">
        <f aca="false">IF(OR(A325="",AA325=""),"",IF(AND(A325&gt;=Dashboard!$G$4,A325&lt;=Dashboard!$I$4),AA325+ROW()/10^9,""))</f>
        <v/>
      </c>
      <c r="AG325" s="51" t="str">
        <f aca="false">IF(A325="","",WEEKDAY(A325,2))</f>
        <v/>
      </c>
    </row>
    <row r="326" customFormat="false" ht="15" hidden="false" customHeight="false" outlineLevel="0" collapsed="false">
      <c r="A326" s="43"/>
      <c r="B326" s="11" t="str">
        <f aca="false">IF(A326="","",TEXT(A326,"ddd"))</f>
        <v/>
      </c>
      <c r="C326" s="44"/>
      <c r="D326" s="16"/>
      <c r="E326" s="16"/>
      <c r="F326" s="16"/>
      <c r="G326" s="16"/>
      <c r="H326" s="45"/>
      <c r="I326" s="45"/>
      <c r="J326" s="11" t="str">
        <f aca="false">IF(I326="","",LEN(I326))</f>
        <v/>
      </c>
      <c r="K326" s="16"/>
      <c r="L326" s="16"/>
      <c r="M326" s="11" t="str">
        <f aca="false">IF(L326="","",IFERROR(INDEX('Hashtag Bank'!$E$5:$E$104,MATCH(L326,'Hashtag Bank'!$B$5:$B$104,0)),""))</f>
        <v/>
      </c>
      <c r="N326" s="16"/>
      <c r="O326" s="16"/>
      <c r="P326" s="16"/>
      <c r="Q326" s="46" t="str">
        <f aca="true">IF(A326&amp;H326="","",TRIM(IF(AND(A326&lt;&gt;"",A326&lt;TODAY(),O326&lt;&gt;"Published",O326&lt;&gt;"Repurpose"),"⚠ Overdue ","")&amp;IF(AND(J326&lt;&gt;"",D326&lt;&gt;"",IFERROR(J326&gt;INDEX(Setup!$E$9:$E$18,MATCH(D326,Setup!$B$9:$B$18,0)),FALSE())),"✂ Caption too long ","")&amp;IF(AND(M326&lt;&gt;"",D326&lt;&gt;"",IFERROR(M326&gt;INDEX(Setup!$F$9:$F$18,MATCH(D326,Setup!$B$9:$B$18,0)),FALSE())),"# Too many tags","")))</f>
        <v/>
      </c>
      <c r="R326" s="16"/>
      <c r="S326" s="19"/>
      <c r="T326" s="19"/>
      <c r="U326" s="19"/>
      <c r="V326" s="19"/>
      <c r="W326" s="19"/>
      <c r="X326" s="19"/>
      <c r="Y326" s="19"/>
      <c r="Z326" s="47" t="str">
        <f aca="false">IF(COUNT(U326:X326)=0,"",SUM(U326:X326))</f>
        <v/>
      </c>
      <c r="AA326" s="48" t="str">
        <f aca="false">IF(OR(Z326="",N(T326)=0),"",Z326/T326)</f>
        <v/>
      </c>
      <c r="AB326" s="45"/>
      <c r="AC326" s="51" t="str">
        <f aca="false">IF(A326="","",A326+N(C326)+ROW()/10^7)</f>
        <v/>
      </c>
      <c r="AD326" s="51" t="str">
        <f aca="false">IF(A326="","",TEXT(A326,"0")&amp;"|"&amp;COUNTIFS('Content Log'!$A$5:$A$504,A326,'Content Log'!$AC$5:$AC$504,"&lt;="&amp;AC326))</f>
        <v/>
      </c>
      <c r="AE326" s="51" t="str">
        <f aca="false">IF(A326="","",IFERROR(INDEX(Setup!$N$9:$N$14,MATCH(O326,Setup!$M$9:$M$14,0))&amp;" ","")&amp;IF(C326="","",TEXT(C326,"h:mm AM/PM")&amp;" ")&amp;D326&amp;IF(H326="",""," · "&amp;H326))</f>
        <v/>
      </c>
      <c r="AF326" s="51" t="str">
        <f aca="false">IF(OR(A326="",AA326=""),"",IF(AND(A326&gt;=Dashboard!$G$4,A326&lt;=Dashboard!$I$4),AA326+ROW()/10^9,""))</f>
        <v/>
      </c>
      <c r="AG326" s="51" t="str">
        <f aca="false">IF(A326="","",WEEKDAY(A326,2))</f>
        <v/>
      </c>
    </row>
    <row r="327" customFormat="false" ht="15" hidden="false" customHeight="false" outlineLevel="0" collapsed="false">
      <c r="A327" s="43"/>
      <c r="B327" s="11" t="str">
        <f aca="false">IF(A327="","",TEXT(A327,"ddd"))</f>
        <v/>
      </c>
      <c r="C327" s="44"/>
      <c r="D327" s="16"/>
      <c r="E327" s="16"/>
      <c r="F327" s="16"/>
      <c r="G327" s="16"/>
      <c r="H327" s="45"/>
      <c r="I327" s="45"/>
      <c r="J327" s="11" t="str">
        <f aca="false">IF(I327="","",LEN(I327))</f>
        <v/>
      </c>
      <c r="K327" s="16"/>
      <c r="L327" s="16"/>
      <c r="M327" s="11" t="str">
        <f aca="false">IF(L327="","",IFERROR(INDEX('Hashtag Bank'!$E$5:$E$104,MATCH(L327,'Hashtag Bank'!$B$5:$B$104,0)),""))</f>
        <v/>
      </c>
      <c r="N327" s="16"/>
      <c r="O327" s="16"/>
      <c r="P327" s="16"/>
      <c r="Q327" s="46" t="str">
        <f aca="true">IF(A327&amp;H327="","",TRIM(IF(AND(A327&lt;&gt;"",A327&lt;TODAY(),O327&lt;&gt;"Published",O327&lt;&gt;"Repurpose"),"⚠ Overdue ","")&amp;IF(AND(J327&lt;&gt;"",D327&lt;&gt;"",IFERROR(J327&gt;INDEX(Setup!$E$9:$E$18,MATCH(D327,Setup!$B$9:$B$18,0)),FALSE())),"✂ Caption too long ","")&amp;IF(AND(M327&lt;&gt;"",D327&lt;&gt;"",IFERROR(M327&gt;INDEX(Setup!$F$9:$F$18,MATCH(D327,Setup!$B$9:$B$18,0)),FALSE())),"# Too many tags","")))</f>
        <v/>
      </c>
      <c r="R327" s="16"/>
      <c r="S327" s="19"/>
      <c r="T327" s="19"/>
      <c r="U327" s="19"/>
      <c r="V327" s="19"/>
      <c r="W327" s="19"/>
      <c r="X327" s="19"/>
      <c r="Y327" s="19"/>
      <c r="Z327" s="47" t="str">
        <f aca="false">IF(COUNT(U327:X327)=0,"",SUM(U327:X327))</f>
        <v/>
      </c>
      <c r="AA327" s="48" t="str">
        <f aca="false">IF(OR(Z327="",N(T327)=0),"",Z327/T327)</f>
        <v/>
      </c>
      <c r="AB327" s="45"/>
      <c r="AC327" s="51" t="str">
        <f aca="false">IF(A327="","",A327+N(C327)+ROW()/10^7)</f>
        <v/>
      </c>
      <c r="AD327" s="51" t="str">
        <f aca="false">IF(A327="","",TEXT(A327,"0")&amp;"|"&amp;COUNTIFS('Content Log'!$A$5:$A$504,A327,'Content Log'!$AC$5:$AC$504,"&lt;="&amp;AC327))</f>
        <v/>
      </c>
      <c r="AE327" s="51" t="str">
        <f aca="false">IF(A327="","",IFERROR(INDEX(Setup!$N$9:$N$14,MATCH(O327,Setup!$M$9:$M$14,0))&amp;" ","")&amp;IF(C327="","",TEXT(C327,"h:mm AM/PM")&amp;" ")&amp;D327&amp;IF(H327="",""," · "&amp;H327))</f>
        <v/>
      </c>
      <c r="AF327" s="51" t="str">
        <f aca="false">IF(OR(A327="",AA327=""),"",IF(AND(A327&gt;=Dashboard!$G$4,A327&lt;=Dashboard!$I$4),AA327+ROW()/10^9,""))</f>
        <v/>
      </c>
      <c r="AG327" s="51" t="str">
        <f aca="false">IF(A327="","",WEEKDAY(A327,2))</f>
        <v/>
      </c>
    </row>
    <row r="328" customFormat="false" ht="15" hidden="false" customHeight="false" outlineLevel="0" collapsed="false">
      <c r="A328" s="43"/>
      <c r="B328" s="11" t="str">
        <f aca="false">IF(A328="","",TEXT(A328,"ddd"))</f>
        <v/>
      </c>
      <c r="C328" s="44"/>
      <c r="D328" s="16"/>
      <c r="E328" s="16"/>
      <c r="F328" s="16"/>
      <c r="G328" s="16"/>
      <c r="H328" s="45"/>
      <c r="I328" s="45"/>
      <c r="J328" s="11" t="str">
        <f aca="false">IF(I328="","",LEN(I328))</f>
        <v/>
      </c>
      <c r="K328" s="16"/>
      <c r="L328" s="16"/>
      <c r="M328" s="11" t="str">
        <f aca="false">IF(L328="","",IFERROR(INDEX('Hashtag Bank'!$E$5:$E$104,MATCH(L328,'Hashtag Bank'!$B$5:$B$104,0)),""))</f>
        <v/>
      </c>
      <c r="N328" s="16"/>
      <c r="O328" s="16"/>
      <c r="P328" s="16"/>
      <c r="Q328" s="46" t="str">
        <f aca="true">IF(A328&amp;H328="","",TRIM(IF(AND(A328&lt;&gt;"",A328&lt;TODAY(),O328&lt;&gt;"Published",O328&lt;&gt;"Repurpose"),"⚠ Overdue ","")&amp;IF(AND(J328&lt;&gt;"",D328&lt;&gt;"",IFERROR(J328&gt;INDEX(Setup!$E$9:$E$18,MATCH(D328,Setup!$B$9:$B$18,0)),FALSE())),"✂ Caption too long ","")&amp;IF(AND(M328&lt;&gt;"",D328&lt;&gt;"",IFERROR(M328&gt;INDEX(Setup!$F$9:$F$18,MATCH(D328,Setup!$B$9:$B$18,0)),FALSE())),"# Too many tags","")))</f>
        <v/>
      </c>
      <c r="R328" s="16"/>
      <c r="S328" s="19"/>
      <c r="T328" s="19"/>
      <c r="U328" s="19"/>
      <c r="V328" s="19"/>
      <c r="W328" s="19"/>
      <c r="X328" s="19"/>
      <c r="Y328" s="19"/>
      <c r="Z328" s="47" t="str">
        <f aca="false">IF(COUNT(U328:X328)=0,"",SUM(U328:X328))</f>
        <v/>
      </c>
      <c r="AA328" s="48" t="str">
        <f aca="false">IF(OR(Z328="",N(T328)=0),"",Z328/T328)</f>
        <v/>
      </c>
      <c r="AB328" s="45"/>
      <c r="AC328" s="51" t="str">
        <f aca="false">IF(A328="","",A328+N(C328)+ROW()/10^7)</f>
        <v/>
      </c>
      <c r="AD328" s="51" t="str">
        <f aca="false">IF(A328="","",TEXT(A328,"0")&amp;"|"&amp;COUNTIFS('Content Log'!$A$5:$A$504,A328,'Content Log'!$AC$5:$AC$504,"&lt;="&amp;AC328))</f>
        <v/>
      </c>
      <c r="AE328" s="51" t="str">
        <f aca="false">IF(A328="","",IFERROR(INDEX(Setup!$N$9:$N$14,MATCH(O328,Setup!$M$9:$M$14,0))&amp;" ","")&amp;IF(C328="","",TEXT(C328,"h:mm AM/PM")&amp;" ")&amp;D328&amp;IF(H328="",""," · "&amp;H328))</f>
        <v/>
      </c>
      <c r="AF328" s="51" t="str">
        <f aca="false">IF(OR(A328="",AA328=""),"",IF(AND(A328&gt;=Dashboard!$G$4,A328&lt;=Dashboard!$I$4),AA328+ROW()/10^9,""))</f>
        <v/>
      </c>
      <c r="AG328" s="51" t="str">
        <f aca="false">IF(A328="","",WEEKDAY(A328,2))</f>
        <v/>
      </c>
    </row>
    <row r="329" customFormat="false" ht="15" hidden="false" customHeight="false" outlineLevel="0" collapsed="false">
      <c r="A329" s="43"/>
      <c r="B329" s="11" t="str">
        <f aca="false">IF(A329="","",TEXT(A329,"ddd"))</f>
        <v/>
      </c>
      <c r="C329" s="44"/>
      <c r="D329" s="16"/>
      <c r="E329" s="16"/>
      <c r="F329" s="16"/>
      <c r="G329" s="16"/>
      <c r="H329" s="45"/>
      <c r="I329" s="45"/>
      <c r="J329" s="11" t="str">
        <f aca="false">IF(I329="","",LEN(I329))</f>
        <v/>
      </c>
      <c r="K329" s="16"/>
      <c r="L329" s="16"/>
      <c r="M329" s="11" t="str">
        <f aca="false">IF(L329="","",IFERROR(INDEX('Hashtag Bank'!$E$5:$E$104,MATCH(L329,'Hashtag Bank'!$B$5:$B$104,0)),""))</f>
        <v/>
      </c>
      <c r="N329" s="16"/>
      <c r="O329" s="16"/>
      <c r="P329" s="16"/>
      <c r="Q329" s="46" t="str">
        <f aca="true">IF(A329&amp;H329="","",TRIM(IF(AND(A329&lt;&gt;"",A329&lt;TODAY(),O329&lt;&gt;"Published",O329&lt;&gt;"Repurpose"),"⚠ Overdue ","")&amp;IF(AND(J329&lt;&gt;"",D329&lt;&gt;"",IFERROR(J329&gt;INDEX(Setup!$E$9:$E$18,MATCH(D329,Setup!$B$9:$B$18,0)),FALSE())),"✂ Caption too long ","")&amp;IF(AND(M329&lt;&gt;"",D329&lt;&gt;"",IFERROR(M329&gt;INDEX(Setup!$F$9:$F$18,MATCH(D329,Setup!$B$9:$B$18,0)),FALSE())),"# Too many tags","")))</f>
        <v/>
      </c>
      <c r="R329" s="16"/>
      <c r="S329" s="19"/>
      <c r="T329" s="19"/>
      <c r="U329" s="19"/>
      <c r="V329" s="19"/>
      <c r="W329" s="19"/>
      <c r="X329" s="19"/>
      <c r="Y329" s="19"/>
      <c r="Z329" s="47" t="str">
        <f aca="false">IF(COUNT(U329:X329)=0,"",SUM(U329:X329))</f>
        <v/>
      </c>
      <c r="AA329" s="48" t="str">
        <f aca="false">IF(OR(Z329="",N(T329)=0),"",Z329/T329)</f>
        <v/>
      </c>
      <c r="AB329" s="45"/>
      <c r="AC329" s="51" t="str">
        <f aca="false">IF(A329="","",A329+N(C329)+ROW()/10^7)</f>
        <v/>
      </c>
      <c r="AD329" s="51" t="str">
        <f aca="false">IF(A329="","",TEXT(A329,"0")&amp;"|"&amp;COUNTIFS('Content Log'!$A$5:$A$504,A329,'Content Log'!$AC$5:$AC$504,"&lt;="&amp;AC329))</f>
        <v/>
      </c>
      <c r="AE329" s="51" t="str">
        <f aca="false">IF(A329="","",IFERROR(INDEX(Setup!$N$9:$N$14,MATCH(O329,Setup!$M$9:$M$14,0))&amp;" ","")&amp;IF(C329="","",TEXT(C329,"h:mm AM/PM")&amp;" ")&amp;D329&amp;IF(H329="",""," · "&amp;H329))</f>
        <v/>
      </c>
      <c r="AF329" s="51" t="str">
        <f aca="false">IF(OR(A329="",AA329=""),"",IF(AND(A329&gt;=Dashboard!$G$4,A329&lt;=Dashboard!$I$4),AA329+ROW()/10^9,""))</f>
        <v/>
      </c>
      <c r="AG329" s="51" t="str">
        <f aca="false">IF(A329="","",WEEKDAY(A329,2))</f>
        <v/>
      </c>
    </row>
    <row r="330" customFormat="false" ht="15" hidden="false" customHeight="false" outlineLevel="0" collapsed="false">
      <c r="A330" s="43"/>
      <c r="B330" s="11" t="str">
        <f aca="false">IF(A330="","",TEXT(A330,"ddd"))</f>
        <v/>
      </c>
      <c r="C330" s="44"/>
      <c r="D330" s="16"/>
      <c r="E330" s="16"/>
      <c r="F330" s="16"/>
      <c r="G330" s="16"/>
      <c r="H330" s="45"/>
      <c r="I330" s="45"/>
      <c r="J330" s="11" t="str">
        <f aca="false">IF(I330="","",LEN(I330))</f>
        <v/>
      </c>
      <c r="K330" s="16"/>
      <c r="L330" s="16"/>
      <c r="M330" s="11" t="str">
        <f aca="false">IF(L330="","",IFERROR(INDEX('Hashtag Bank'!$E$5:$E$104,MATCH(L330,'Hashtag Bank'!$B$5:$B$104,0)),""))</f>
        <v/>
      </c>
      <c r="N330" s="16"/>
      <c r="O330" s="16"/>
      <c r="P330" s="16"/>
      <c r="Q330" s="46" t="str">
        <f aca="true">IF(A330&amp;H330="","",TRIM(IF(AND(A330&lt;&gt;"",A330&lt;TODAY(),O330&lt;&gt;"Published",O330&lt;&gt;"Repurpose"),"⚠ Overdue ","")&amp;IF(AND(J330&lt;&gt;"",D330&lt;&gt;"",IFERROR(J330&gt;INDEX(Setup!$E$9:$E$18,MATCH(D330,Setup!$B$9:$B$18,0)),FALSE())),"✂ Caption too long ","")&amp;IF(AND(M330&lt;&gt;"",D330&lt;&gt;"",IFERROR(M330&gt;INDEX(Setup!$F$9:$F$18,MATCH(D330,Setup!$B$9:$B$18,0)),FALSE())),"# Too many tags","")))</f>
        <v/>
      </c>
      <c r="R330" s="16"/>
      <c r="S330" s="19"/>
      <c r="T330" s="19"/>
      <c r="U330" s="19"/>
      <c r="V330" s="19"/>
      <c r="W330" s="19"/>
      <c r="X330" s="19"/>
      <c r="Y330" s="19"/>
      <c r="Z330" s="47" t="str">
        <f aca="false">IF(COUNT(U330:X330)=0,"",SUM(U330:X330))</f>
        <v/>
      </c>
      <c r="AA330" s="48" t="str">
        <f aca="false">IF(OR(Z330="",N(T330)=0),"",Z330/T330)</f>
        <v/>
      </c>
      <c r="AB330" s="45"/>
      <c r="AC330" s="51" t="str">
        <f aca="false">IF(A330="","",A330+N(C330)+ROW()/10^7)</f>
        <v/>
      </c>
      <c r="AD330" s="51" t="str">
        <f aca="false">IF(A330="","",TEXT(A330,"0")&amp;"|"&amp;COUNTIFS('Content Log'!$A$5:$A$504,A330,'Content Log'!$AC$5:$AC$504,"&lt;="&amp;AC330))</f>
        <v/>
      </c>
      <c r="AE330" s="51" t="str">
        <f aca="false">IF(A330="","",IFERROR(INDEX(Setup!$N$9:$N$14,MATCH(O330,Setup!$M$9:$M$14,0))&amp;" ","")&amp;IF(C330="","",TEXT(C330,"h:mm AM/PM")&amp;" ")&amp;D330&amp;IF(H330="",""," · "&amp;H330))</f>
        <v/>
      </c>
      <c r="AF330" s="51" t="str">
        <f aca="false">IF(OR(A330="",AA330=""),"",IF(AND(A330&gt;=Dashboard!$G$4,A330&lt;=Dashboard!$I$4),AA330+ROW()/10^9,""))</f>
        <v/>
      </c>
      <c r="AG330" s="51" t="str">
        <f aca="false">IF(A330="","",WEEKDAY(A330,2))</f>
        <v/>
      </c>
    </row>
    <row r="331" customFormat="false" ht="15" hidden="false" customHeight="false" outlineLevel="0" collapsed="false">
      <c r="A331" s="43"/>
      <c r="B331" s="11" t="str">
        <f aca="false">IF(A331="","",TEXT(A331,"ddd"))</f>
        <v/>
      </c>
      <c r="C331" s="44"/>
      <c r="D331" s="16"/>
      <c r="E331" s="16"/>
      <c r="F331" s="16"/>
      <c r="G331" s="16"/>
      <c r="H331" s="45"/>
      <c r="I331" s="45"/>
      <c r="J331" s="11" t="str">
        <f aca="false">IF(I331="","",LEN(I331))</f>
        <v/>
      </c>
      <c r="K331" s="16"/>
      <c r="L331" s="16"/>
      <c r="M331" s="11" t="str">
        <f aca="false">IF(L331="","",IFERROR(INDEX('Hashtag Bank'!$E$5:$E$104,MATCH(L331,'Hashtag Bank'!$B$5:$B$104,0)),""))</f>
        <v/>
      </c>
      <c r="N331" s="16"/>
      <c r="O331" s="16"/>
      <c r="P331" s="16"/>
      <c r="Q331" s="46" t="str">
        <f aca="true">IF(A331&amp;H331="","",TRIM(IF(AND(A331&lt;&gt;"",A331&lt;TODAY(),O331&lt;&gt;"Published",O331&lt;&gt;"Repurpose"),"⚠ Overdue ","")&amp;IF(AND(J331&lt;&gt;"",D331&lt;&gt;"",IFERROR(J331&gt;INDEX(Setup!$E$9:$E$18,MATCH(D331,Setup!$B$9:$B$18,0)),FALSE())),"✂ Caption too long ","")&amp;IF(AND(M331&lt;&gt;"",D331&lt;&gt;"",IFERROR(M331&gt;INDEX(Setup!$F$9:$F$18,MATCH(D331,Setup!$B$9:$B$18,0)),FALSE())),"# Too many tags","")))</f>
        <v/>
      </c>
      <c r="R331" s="16"/>
      <c r="S331" s="19"/>
      <c r="T331" s="19"/>
      <c r="U331" s="19"/>
      <c r="V331" s="19"/>
      <c r="W331" s="19"/>
      <c r="X331" s="19"/>
      <c r="Y331" s="19"/>
      <c r="Z331" s="47" t="str">
        <f aca="false">IF(COUNT(U331:X331)=0,"",SUM(U331:X331))</f>
        <v/>
      </c>
      <c r="AA331" s="48" t="str">
        <f aca="false">IF(OR(Z331="",N(T331)=0),"",Z331/T331)</f>
        <v/>
      </c>
      <c r="AB331" s="45"/>
      <c r="AC331" s="51" t="str">
        <f aca="false">IF(A331="","",A331+N(C331)+ROW()/10^7)</f>
        <v/>
      </c>
      <c r="AD331" s="51" t="str">
        <f aca="false">IF(A331="","",TEXT(A331,"0")&amp;"|"&amp;COUNTIFS('Content Log'!$A$5:$A$504,A331,'Content Log'!$AC$5:$AC$504,"&lt;="&amp;AC331))</f>
        <v/>
      </c>
      <c r="AE331" s="51" t="str">
        <f aca="false">IF(A331="","",IFERROR(INDEX(Setup!$N$9:$N$14,MATCH(O331,Setup!$M$9:$M$14,0))&amp;" ","")&amp;IF(C331="","",TEXT(C331,"h:mm AM/PM")&amp;" ")&amp;D331&amp;IF(H331="",""," · "&amp;H331))</f>
        <v/>
      </c>
      <c r="AF331" s="51" t="str">
        <f aca="false">IF(OR(A331="",AA331=""),"",IF(AND(A331&gt;=Dashboard!$G$4,A331&lt;=Dashboard!$I$4),AA331+ROW()/10^9,""))</f>
        <v/>
      </c>
      <c r="AG331" s="51" t="str">
        <f aca="false">IF(A331="","",WEEKDAY(A331,2))</f>
        <v/>
      </c>
    </row>
    <row r="332" customFormat="false" ht="15" hidden="false" customHeight="false" outlineLevel="0" collapsed="false">
      <c r="A332" s="43"/>
      <c r="B332" s="11" t="str">
        <f aca="false">IF(A332="","",TEXT(A332,"ddd"))</f>
        <v/>
      </c>
      <c r="C332" s="44"/>
      <c r="D332" s="16"/>
      <c r="E332" s="16"/>
      <c r="F332" s="16"/>
      <c r="G332" s="16"/>
      <c r="H332" s="45"/>
      <c r="I332" s="45"/>
      <c r="J332" s="11" t="str">
        <f aca="false">IF(I332="","",LEN(I332))</f>
        <v/>
      </c>
      <c r="K332" s="16"/>
      <c r="L332" s="16"/>
      <c r="M332" s="11" t="str">
        <f aca="false">IF(L332="","",IFERROR(INDEX('Hashtag Bank'!$E$5:$E$104,MATCH(L332,'Hashtag Bank'!$B$5:$B$104,0)),""))</f>
        <v/>
      </c>
      <c r="N332" s="16"/>
      <c r="O332" s="16"/>
      <c r="P332" s="16"/>
      <c r="Q332" s="46" t="str">
        <f aca="true">IF(A332&amp;H332="","",TRIM(IF(AND(A332&lt;&gt;"",A332&lt;TODAY(),O332&lt;&gt;"Published",O332&lt;&gt;"Repurpose"),"⚠ Overdue ","")&amp;IF(AND(J332&lt;&gt;"",D332&lt;&gt;"",IFERROR(J332&gt;INDEX(Setup!$E$9:$E$18,MATCH(D332,Setup!$B$9:$B$18,0)),FALSE())),"✂ Caption too long ","")&amp;IF(AND(M332&lt;&gt;"",D332&lt;&gt;"",IFERROR(M332&gt;INDEX(Setup!$F$9:$F$18,MATCH(D332,Setup!$B$9:$B$18,0)),FALSE())),"# Too many tags","")))</f>
        <v/>
      </c>
      <c r="R332" s="16"/>
      <c r="S332" s="19"/>
      <c r="T332" s="19"/>
      <c r="U332" s="19"/>
      <c r="V332" s="19"/>
      <c r="W332" s="19"/>
      <c r="X332" s="19"/>
      <c r="Y332" s="19"/>
      <c r="Z332" s="47" t="str">
        <f aca="false">IF(COUNT(U332:X332)=0,"",SUM(U332:X332))</f>
        <v/>
      </c>
      <c r="AA332" s="48" t="str">
        <f aca="false">IF(OR(Z332="",N(T332)=0),"",Z332/T332)</f>
        <v/>
      </c>
      <c r="AB332" s="45"/>
      <c r="AC332" s="51" t="str">
        <f aca="false">IF(A332="","",A332+N(C332)+ROW()/10^7)</f>
        <v/>
      </c>
      <c r="AD332" s="51" t="str">
        <f aca="false">IF(A332="","",TEXT(A332,"0")&amp;"|"&amp;COUNTIFS('Content Log'!$A$5:$A$504,A332,'Content Log'!$AC$5:$AC$504,"&lt;="&amp;AC332))</f>
        <v/>
      </c>
      <c r="AE332" s="51" t="str">
        <f aca="false">IF(A332="","",IFERROR(INDEX(Setup!$N$9:$N$14,MATCH(O332,Setup!$M$9:$M$14,0))&amp;" ","")&amp;IF(C332="","",TEXT(C332,"h:mm AM/PM")&amp;" ")&amp;D332&amp;IF(H332="",""," · "&amp;H332))</f>
        <v/>
      </c>
      <c r="AF332" s="51" t="str">
        <f aca="false">IF(OR(A332="",AA332=""),"",IF(AND(A332&gt;=Dashboard!$G$4,A332&lt;=Dashboard!$I$4),AA332+ROW()/10^9,""))</f>
        <v/>
      </c>
      <c r="AG332" s="51" t="str">
        <f aca="false">IF(A332="","",WEEKDAY(A332,2))</f>
        <v/>
      </c>
    </row>
    <row r="333" customFormat="false" ht="15" hidden="false" customHeight="false" outlineLevel="0" collapsed="false">
      <c r="A333" s="43"/>
      <c r="B333" s="11" t="str">
        <f aca="false">IF(A333="","",TEXT(A333,"ddd"))</f>
        <v/>
      </c>
      <c r="C333" s="44"/>
      <c r="D333" s="16"/>
      <c r="E333" s="16"/>
      <c r="F333" s="16"/>
      <c r="G333" s="16"/>
      <c r="H333" s="45"/>
      <c r="I333" s="45"/>
      <c r="J333" s="11" t="str">
        <f aca="false">IF(I333="","",LEN(I333))</f>
        <v/>
      </c>
      <c r="K333" s="16"/>
      <c r="L333" s="16"/>
      <c r="M333" s="11" t="str">
        <f aca="false">IF(L333="","",IFERROR(INDEX('Hashtag Bank'!$E$5:$E$104,MATCH(L333,'Hashtag Bank'!$B$5:$B$104,0)),""))</f>
        <v/>
      </c>
      <c r="N333" s="16"/>
      <c r="O333" s="16"/>
      <c r="P333" s="16"/>
      <c r="Q333" s="46" t="str">
        <f aca="true">IF(A333&amp;H333="","",TRIM(IF(AND(A333&lt;&gt;"",A333&lt;TODAY(),O333&lt;&gt;"Published",O333&lt;&gt;"Repurpose"),"⚠ Overdue ","")&amp;IF(AND(J333&lt;&gt;"",D333&lt;&gt;"",IFERROR(J333&gt;INDEX(Setup!$E$9:$E$18,MATCH(D333,Setup!$B$9:$B$18,0)),FALSE())),"✂ Caption too long ","")&amp;IF(AND(M333&lt;&gt;"",D333&lt;&gt;"",IFERROR(M333&gt;INDEX(Setup!$F$9:$F$18,MATCH(D333,Setup!$B$9:$B$18,0)),FALSE())),"# Too many tags","")))</f>
        <v/>
      </c>
      <c r="R333" s="16"/>
      <c r="S333" s="19"/>
      <c r="T333" s="19"/>
      <c r="U333" s="19"/>
      <c r="V333" s="19"/>
      <c r="W333" s="19"/>
      <c r="X333" s="19"/>
      <c r="Y333" s="19"/>
      <c r="Z333" s="47" t="str">
        <f aca="false">IF(COUNT(U333:X333)=0,"",SUM(U333:X333))</f>
        <v/>
      </c>
      <c r="AA333" s="48" t="str">
        <f aca="false">IF(OR(Z333="",N(T333)=0),"",Z333/T333)</f>
        <v/>
      </c>
      <c r="AB333" s="45"/>
      <c r="AC333" s="51" t="str">
        <f aca="false">IF(A333="","",A333+N(C333)+ROW()/10^7)</f>
        <v/>
      </c>
      <c r="AD333" s="51" t="str">
        <f aca="false">IF(A333="","",TEXT(A333,"0")&amp;"|"&amp;COUNTIFS('Content Log'!$A$5:$A$504,A333,'Content Log'!$AC$5:$AC$504,"&lt;="&amp;AC333))</f>
        <v/>
      </c>
      <c r="AE333" s="51" t="str">
        <f aca="false">IF(A333="","",IFERROR(INDEX(Setup!$N$9:$N$14,MATCH(O333,Setup!$M$9:$M$14,0))&amp;" ","")&amp;IF(C333="","",TEXT(C333,"h:mm AM/PM")&amp;" ")&amp;D333&amp;IF(H333="",""," · "&amp;H333))</f>
        <v/>
      </c>
      <c r="AF333" s="51" t="str">
        <f aca="false">IF(OR(A333="",AA333=""),"",IF(AND(A333&gt;=Dashboard!$G$4,A333&lt;=Dashboard!$I$4),AA333+ROW()/10^9,""))</f>
        <v/>
      </c>
      <c r="AG333" s="51" t="str">
        <f aca="false">IF(A333="","",WEEKDAY(A333,2))</f>
        <v/>
      </c>
    </row>
    <row r="334" customFormat="false" ht="15" hidden="false" customHeight="false" outlineLevel="0" collapsed="false">
      <c r="A334" s="43"/>
      <c r="B334" s="11" t="str">
        <f aca="false">IF(A334="","",TEXT(A334,"ddd"))</f>
        <v/>
      </c>
      <c r="C334" s="44"/>
      <c r="D334" s="16"/>
      <c r="E334" s="16"/>
      <c r="F334" s="16"/>
      <c r="G334" s="16"/>
      <c r="H334" s="45"/>
      <c r="I334" s="45"/>
      <c r="J334" s="11" t="str">
        <f aca="false">IF(I334="","",LEN(I334))</f>
        <v/>
      </c>
      <c r="K334" s="16"/>
      <c r="L334" s="16"/>
      <c r="M334" s="11" t="str">
        <f aca="false">IF(L334="","",IFERROR(INDEX('Hashtag Bank'!$E$5:$E$104,MATCH(L334,'Hashtag Bank'!$B$5:$B$104,0)),""))</f>
        <v/>
      </c>
      <c r="N334" s="16"/>
      <c r="O334" s="16"/>
      <c r="P334" s="16"/>
      <c r="Q334" s="46" t="str">
        <f aca="true">IF(A334&amp;H334="","",TRIM(IF(AND(A334&lt;&gt;"",A334&lt;TODAY(),O334&lt;&gt;"Published",O334&lt;&gt;"Repurpose"),"⚠ Overdue ","")&amp;IF(AND(J334&lt;&gt;"",D334&lt;&gt;"",IFERROR(J334&gt;INDEX(Setup!$E$9:$E$18,MATCH(D334,Setup!$B$9:$B$18,0)),FALSE())),"✂ Caption too long ","")&amp;IF(AND(M334&lt;&gt;"",D334&lt;&gt;"",IFERROR(M334&gt;INDEX(Setup!$F$9:$F$18,MATCH(D334,Setup!$B$9:$B$18,0)),FALSE())),"# Too many tags","")))</f>
        <v/>
      </c>
      <c r="R334" s="16"/>
      <c r="S334" s="19"/>
      <c r="T334" s="19"/>
      <c r="U334" s="19"/>
      <c r="V334" s="19"/>
      <c r="W334" s="19"/>
      <c r="X334" s="19"/>
      <c r="Y334" s="19"/>
      <c r="Z334" s="47" t="str">
        <f aca="false">IF(COUNT(U334:X334)=0,"",SUM(U334:X334))</f>
        <v/>
      </c>
      <c r="AA334" s="48" t="str">
        <f aca="false">IF(OR(Z334="",N(T334)=0),"",Z334/T334)</f>
        <v/>
      </c>
      <c r="AB334" s="45"/>
      <c r="AC334" s="51" t="str">
        <f aca="false">IF(A334="","",A334+N(C334)+ROW()/10^7)</f>
        <v/>
      </c>
      <c r="AD334" s="51" t="str">
        <f aca="false">IF(A334="","",TEXT(A334,"0")&amp;"|"&amp;COUNTIFS('Content Log'!$A$5:$A$504,A334,'Content Log'!$AC$5:$AC$504,"&lt;="&amp;AC334))</f>
        <v/>
      </c>
      <c r="AE334" s="51" t="str">
        <f aca="false">IF(A334="","",IFERROR(INDEX(Setup!$N$9:$N$14,MATCH(O334,Setup!$M$9:$M$14,0))&amp;" ","")&amp;IF(C334="","",TEXT(C334,"h:mm AM/PM")&amp;" ")&amp;D334&amp;IF(H334="",""," · "&amp;H334))</f>
        <v/>
      </c>
      <c r="AF334" s="51" t="str">
        <f aca="false">IF(OR(A334="",AA334=""),"",IF(AND(A334&gt;=Dashboard!$G$4,A334&lt;=Dashboard!$I$4),AA334+ROW()/10^9,""))</f>
        <v/>
      </c>
      <c r="AG334" s="51" t="str">
        <f aca="false">IF(A334="","",WEEKDAY(A334,2))</f>
        <v/>
      </c>
    </row>
    <row r="335" customFormat="false" ht="15" hidden="false" customHeight="false" outlineLevel="0" collapsed="false">
      <c r="A335" s="43"/>
      <c r="B335" s="11" t="str">
        <f aca="false">IF(A335="","",TEXT(A335,"ddd"))</f>
        <v/>
      </c>
      <c r="C335" s="44"/>
      <c r="D335" s="16"/>
      <c r="E335" s="16"/>
      <c r="F335" s="16"/>
      <c r="G335" s="16"/>
      <c r="H335" s="45"/>
      <c r="I335" s="45"/>
      <c r="J335" s="11" t="str">
        <f aca="false">IF(I335="","",LEN(I335))</f>
        <v/>
      </c>
      <c r="K335" s="16"/>
      <c r="L335" s="16"/>
      <c r="M335" s="11" t="str">
        <f aca="false">IF(L335="","",IFERROR(INDEX('Hashtag Bank'!$E$5:$E$104,MATCH(L335,'Hashtag Bank'!$B$5:$B$104,0)),""))</f>
        <v/>
      </c>
      <c r="N335" s="16"/>
      <c r="O335" s="16"/>
      <c r="P335" s="16"/>
      <c r="Q335" s="46" t="str">
        <f aca="true">IF(A335&amp;H335="","",TRIM(IF(AND(A335&lt;&gt;"",A335&lt;TODAY(),O335&lt;&gt;"Published",O335&lt;&gt;"Repurpose"),"⚠ Overdue ","")&amp;IF(AND(J335&lt;&gt;"",D335&lt;&gt;"",IFERROR(J335&gt;INDEX(Setup!$E$9:$E$18,MATCH(D335,Setup!$B$9:$B$18,0)),FALSE())),"✂ Caption too long ","")&amp;IF(AND(M335&lt;&gt;"",D335&lt;&gt;"",IFERROR(M335&gt;INDEX(Setup!$F$9:$F$18,MATCH(D335,Setup!$B$9:$B$18,0)),FALSE())),"# Too many tags","")))</f>
        <v/>
      </c>
      <c r="R335" s="16"/>
      <c r="S335" s="19"/>
      <c r="T335" s="19"/>
      <c r="U335" s="19"/>
      <c r="V335" s="19"/>
      <c r="W335" s="19"/>
      <c r="X335" s="19"/>
      <c r="Y335" s="19"/>
      <c r="Z335" s="47" t="str">
        <f aca="false">IF(COUNT(U335:X335)=0,"",SUM(U335:X335))</f>
        <v/>
      </c>
      <c r="AA335" s="48" t="str">
        <f aca="false">IF(OR(Z335="",N(T335)=0),"",Z335/T335)</f>
        <v/>
      </c>
      <c r="AB335" s="45"/>
      <c r="AC335" s="51" t="str">
        <f aca="false">IF(A335="","",A335+N(C335)+ROW()/10^7)</f>
        <v/>
      </c>
      <c r="AD335" s="51" t="str">
        <f aca="false">IF(A335="","",TEXT(A335,"0")&amp;"|"&amp;COUNTIFS('Content Log'!$A$5:$A$504,A335,'Content Log'!$AC$5:$AC$504,"&lt;="&amp;AC335))</f>
        <v/>
      </c>
      <c r="AE335" s="51" t="str">
        <f aca="false">IF(A335="","",IFERROR(INDEX(Setup!$N$9:$N$14,MATCH(O335,Setup!$M$9:$M$14,0))&amp;" ","")&amp;IF(C335="","",TEXT(C335,"h:mm AM/PM")&amp;" ")&amp;D335&amp;IF(H335="",""," · "&amp;H335))</f>
        <v/>
      </c>
      <c r="AF335" s="51" t="str">
        <f aca="false">IF(OR(A335="",AA335=""),"",IF(AND(A335&gt;=Dashboard!$G$4,A335&lt;=Dashboard!$I$4),AA335+ROW()/10^9,""))</f>
        <v/>
      </c>
      <c r="AG335" s="51" t="str">
        <f aca="false">IF(A335="","",WEEKDAY(A335,2))</f>
        <v/>
      </c>
    </row>
    <row r="336" customFormat="false" ht="15" hidden="false" customHeight="false" outlineLevel="0" collapsed="false">
      <c r="A336" s="43"/>
      <c r="B336" s="11" t="str">
        <f aca="false">IF(A336="","",TEXT(A336,"ddd"))</f>
        <v/>
      </c>
      <c r="C336" s="44"/>
      <c r="D336" s="16"/>
      <c r="E336" s="16"/>
      <c r="F336" s="16"/>
      <c r="G336" s="16"/>
      <c r="H336" s="45"/>
      <c r="I336" s="45"/>
      <c r="J336" s="11" t="str">
        <f aca="false">IF(I336="","",LEN(I336))</f>
        <v/>
      </c>
      <c r="K336" s="16"/>
      <c r="L336" s="16"/>
      <c r="M336" s="11" t="str">
        <f aca="false">IF(L336="","",IFERROR(INDEX('Hashtag Bank'!$E$5:$E$104,MATCH(L336,'Hashtag Bank'!$B$5:$B$104,0)),""))</f>
        <v/>
      </c>
      <c r="N336" s="16"/>
      <c r="O336" s="16"/>
      <c r="P336" s="16"/>
      <c r="Q336" s="46" t="str">
        <f aca="true">IF(A336&amp;H336="","",TRIM(IF(AND(A336&lt;&gt;"",A336&lt;TODAY(),O336&lt;&gt;"Published",O336&lt;&gt;"Repurpose"),"⚠ Overdue ","")&amp;IF(AND(J336&lt;&gt;"",D336&lt;&gt;"",IFERROR(J336&gt;INDEX(Setup!$E$9:$E$18,MATCH(D336,Setup!$B$9:$B$18,0)),FALSE())),"✂ Caption too long ","")&amp;IF(AND(M336&lt;&gt;"",D336&lt;&gt;"",IFERROR(M336&gt;INDEX(Setup!$F$9:$F$18,MATCH(D336,Setup!$B$9:$B$18,0)),FALSE())),"# Too many tags","")))</f>
        <v/>
      </c>
      <c r="R336" s="16"/>
      <c r="S336" s="19"/>
      <c r="T336" s="19"/>
      <c r="U336" s="19"/>
      <c r="V336" s="19"/>
      <c r="W336" s="19"/>
      <c r="X336" s="19"/>
      <c r="Y336" s="19"/>
      <c r="Z336" s="47" t="str">
        <f aca="false">IF(COUNT(U336:X336)=0,"",SUM(U336:X336))</f>
        <v/>
      </c>
      <c r="AA336" s="48" t="str">
        <f aca="false">IF(OR(Z336="",N(T336)=0),"",Z336/T336)</f>
        <v/>
      </c>
      <c r="AB336" s="45"/>
      <c r="AC336" s="51" t="str">
        <f aca="false">IF(A336="","",A336+N(C336)+ROW()/10^7)</f>
        <v/>
      </c>
      <c r="AD336" s="51" t="str">
        <f aca="false">IF(A336="","",TEXT(A336,"0")&amp;"|"&amp;COUNTIFS('Content Log'!$A$5:$A$504,A336,'Content Log'!$AC$5:$AC$504,"&lt;="&amp;AC336))</f>
        <v/>
      </c>
      <c r="AE336" s="51" t="str">
        <f aca="false">IF(A336="","",IFERROR(INDEX(Setup!$N$9:$N$14,MATCH(O336,Setup!$M$9:$M$14,0))&amp;" ","")&amp;IF(C336="","",TEXT(C336,"h:mm AM/PM")&amp;" ")&amp;D336&amp;IF(H336="",""," · "&amp;H336))</f>
        <v/>
      </c>
      <c r="AF336" s="51" t="str">
        <f aca="false">IF(OR(A336="",AA336=""),"",IF(AND(A336&gt;=Dashboard!$G$4,A336&lt;=Dashboard!$I$4),AA336+ROW()/10^9,""))</f>
        <v/>
      </c>
      <c r="AG336" s="51" t="str">
        <f aca="false">IF(A336="","",WEEKDAY(A336,2))</f>
        <v/>
      </c>
    </row>
    <row r="337" customFormat="false" ht="15" hidden="false" customHeight="false" outlineLevel="0" collapsed="false">
      <c r="A337" s="43"/>
      <c r="B337" s="11" t="str">
        <f aca="false">IF(A337="","",TEXT(A337,"ddd"))</f>
        <v/>
      </c>
      <c r="C337" s="44"/>
      <c r="D337" s="16"/>
      <c r="E337" s="16"/>
      <c r="F337" s="16"/>
      <c r="G337" s="16"/>
      <c r="H337" s="45"/>
      <c r="I337" s="45"/>
      <c r="J337" s="11" t="str">
        <f aca="false">IF(I337="","",LEN(I337))</f>
        <v/>
      </c>
      <c r="K337" s="16"/>
      <c r="L337" s="16"/>
      <c r="M337" s="11" t="str">
        <f aca="false">IF(L337="","",IFERROR(INDEX('Hashtag Bank'!$E$5:$E$104,MATCH(L337,'Hashtag Bank'!$B$5:$B$104,0)),""))</f>
        <v/>
      </c>
      <c r="N337" s="16"/>
      <c r="O337" s="16"/>
      <c r="P337" s="16"/>
      <c r="Q337" s="46" t="str">
        <f aca="true">IF(A337&amp;H337="","",TRIM(IF(AND(A337&lt;&gt;"",A337&lt;TODAY(),O337&lt;&gt;"Published",O337&lt;&gt;"Repurpose"),"⚠ Overdue ","")&amp;IF(AND(J337&lt;&gt;"",D337&lt;&gt;"",IFERROR(J337&gt;INDEX(Setup!$E$9:$E$18,MATCH(D337,Setup!$B$9:$B$18,0)),FALSE())),"✂ Caption too long ","")&amp;IF(AND(M337&lt;&gt;"",D337&lt;&gt;"",IFERROR(M337&gt;INDEX(Setup!$F$9:$F$18,MATCH(D337,Setup!$B$9:$B$18,0)),FALSE())),"# Too many tags","")))</f>
        <v/>
      </c>
      <c r="R337" s="16"/>
      <c r="S337" s="19"/>
      <c r="T337" s="19"/>
      <c r="U337" s="19"/>
      <c r="V337" s="19"/>
      <c r="W337" s="19"/>
      <c r="X337" s="19"/>
      <c r="Y337" s="19"/>
      <c r="Z337" s="47" t="str">
        <f aca="false">IF(COUNT(U337:X337)=0,"",SUM(U337:X337))</f>
        <v/>
      </c>
      <c r="AA337" s="48" t="str">
        <f aca="false">IF(OR(Z337="",N(T337)=0),"",Z337/T337)</f>
        <v/>
      </c>
      <c r="AB337" s="45"/>
      <c r="AC337" s="51" t="str">
        <f aca="false">IF(A337="","",A337+N(C337)+ROW()/10^7)</f>
        <v/>
      </c>
      <c r="AD337" s="51" t="str">
        <f aca="false">IF(A337="","",TEXT(A337,"0")&amp;"|"&amp;COUNTIFS('Content Log'!$A$5:$A$504,A337,'Content Log'!$AC$5:$AC$504,"&lt;="&amp;AC337))</f>
        <v/>
      </c>
      <c r="AE337" s="51" t="str">
        <f aca="false">IF(A337="","",IFERROR(INDEX(Setup!$N$9:$N$14,MATCH(O337,Setup!$M$9:$M$14,0))&amp;" ","")&amp;IF(C337="","",TEXT(C337,"h:mm AM/PM")&amp;" ")&amp;D337&amp;IF(H337="",""," · "&amp;H337))</f>
        <v/>
      </c>
      <c r="AF337" s="51" t="str">
        <f aca="false">IF(OR(A337="",AA337=""),"",IF(AND(A337&gt;=Dashboard!$G$4,A337&lt;=Dashboard!$I$4),AA337+ROW()/10^9,""))</f>
        <v/>
      </c>
      <c r="AG337" s="51" t="str">
        <f aca="false">IF(A337="","",WEEKDAY(A337,2))</f>
        <v/>
      </c>
    </row>
    <row r="338" customFormat="false" ht="15" hidden="false" customHeight="false" outlineLevel="0" collapsed="false">
      <c r="A338" s="43"/>
      <c r="B338" s="11" t="str">
        <f aca="false">IF(A338="","",TEXT(A338,"ddd"))</f>
        <v/>
      </c>
      <c r="C338" s="44"/>
      <c r="D338" s="16"/>
      <c r="E338" s="16"/>
      <c r="F338" s="16"/>
      <c r="G338" s="16"/>
      <c r="H338" s="45"/>
      <c r="I338" s="45"/>
      <c r="J338" s="11" t="str">
        <f aca="false">IF(I338="","",LEN(I338))</f>
        <v/>
      </c>
      <c r="K338" s="16"/>
      <c r="L338" s="16"/>
      <c r="M338" s="11" t="str">
        <f aca="false">IF(L338="","",IFERROR(INDEX('Hashtag Bank'!$E$5:$E$104,MATCH(L338,'Hashtag Bank'!$B$5:$B$104,0)),""))</f>
        <v/>
      </c>
      <c r="N338" s="16"/>
      <c r="O338" s="16"/>
      <c r="P338" s="16"/>
      <c r="Q338" s="46" t="str">
        <f aca="true">IF(A338&amp;H338="","",TRIM(IF(AND(A338&lt;&gt;"",A338&lt;TODAY(),O338&lt;&gt;"Published",O338&lt;&gt;"Repurpose"),"⚠ Overdue ","")&amp;IF(AND(J338&lt;&gt;"",D338&lt;&gt;"",IFERROR(J338&gt;INDEX(Setup!$E$9:$E$18,MATCH(D338,Setup!$B$9:$B$18,0)),FALSE())),"✂ Caption too long ","")&amp;IF(AND(M338&lt;&gt;"",D338&lt;&gt;"",IFERROR(M338&gt;INDEX(Setup!$F$9:$F$18,MATCH(D338,Setup!$B$9:$B$18,0)),FALSE())),"# Too many tags","")))</f>
        <v/>
      </c>
      <c r="R338" s="16"/>
      <c r="S338" s="19"/>
      <c r="T338" s="19"/>
      <c r="U338" s="19"/>
      <c r="V338" s="19"/>
      <c r="W338" s="19"/>
      <c r="X338" s="19"/>
      <c r="Y338" s="19"/>
      <c r="Z338" s="47" t="str">
        <f aca="false">IF(COUNT(U338:X338)=0,"",SUM(U338:X338))</f>
        <v/>
      </c>
      <c r="AA338" s="48" t="str">
        <f aca="false">IF(OR(Z338="",N(T338)=0),"",Z338/T338)</f>
        <v/>
      </c>
      <c r="AB338" s="45"/>
      <c r="AC338" s="51" t="str">
        <f aca="false">IF(A338="","",A338+N(C338)+ROW()/10^7)</f>
        <v/>
      </c>
      <c r="AD338" s="51" t="str">
        <f aca="false">IF(A338="","",TEXT(A338,"0")&amp;"|"&amp;COUNTIFS('Content Log'!$A$5:$A$504,A338,'Content Log'!$AC$5:$AC$504,"&lt;="&amp;AC338))</f>
        <v/>
      </c>
      <c r="AE338" s="51" t="str">
        <f aca="false">IF(A338="","",IFERROR(INDEX(Setup!$N$9:$N$14,MATCH(O338,Setup!$M$9:$M$14,0))&amp;" ","")&amp;IF(C338="","",TEXT(C338,"h:mm AM/PM")&amp;" ")&amp;D338&amp;IF(H338="",""," · "&amp;H338))</f>
        <v/>
      </c>
      <c r="AF338" s="51" t="str">
        <f aca="false">IF(OR(A338="",AA338=""),"",IF(AND(A338&gt;=Dashboard!$G$4,A338&lt;=Dashboard!$I$4),AA338+ROW()/10^9,""))</f>
        <v/>
      </c>
      <c r="AG338" s="51" t="str">
        <f aca="false">IF(A338="","",WEEKDAY(A338,2))</f>
        <v/>
      </c>
    </row>
    <row r="339" customFormat="false" ht="15" hidden="false" customHeight="false" outlineLevel="0" collapsed="false">
      <c r="A339" s="43"/>
      <c r="B339" s="11" t="str">
        <f aca="false">IF(A339="","",TEXT(A339,"ddd"))</f>
        <v/>
      </c>
      <c r="C339" s="44"/>
      <c r="D339" s="16"/>
      <c r="E339" s="16"/>
      <c r="F339" s="16"/>
      <c r="G339" s="16"/>
      <c r="H339" s="45"/>
      <c r="I339" s="45"/>
      <c r="J339" s="11" t="str">
        <f aca="false">IF(I339="","",LEN(I339))</f>
        <v/>
      </c>
      <c r="K339" s="16"/>
      <c r="L339" s="16"/>
      <c r="M339" s="11" t="str">
        <f aca="false">IF(L339="","",IFERROR(INDEX('Hashtag Bank'!$E$5:$E$104,MATCH(L339,'Hashtag Bank'!$B$5:$B$104,0)),""))</f>
        <v/>
      </c>
      <c r="N339" s="16"/>
      <c r="O339" s="16"/>
      <c r="P339" s="16"/>
      <c r="Q339" s="46" t="str">
        <f aca="true">IF(A339&amp;H339="","",TRIM(IF(AND(A339&lt;&gt;"",A339&lt;TODAY(),O339&lt;&gt;"Published",O339&lt;&gt;"Repurpose"),"⚠ Overdue ","")&amp;IF(AND(J339&lt;&gt;"",D339&lt;&gt;"",IFERROR(J339&gt;INDEX(Setup!$E$9:$E$18,MATCH(D339,Setup!$B$9:$B$18,0)),FALSE())),"✂ Caption too long ","")&amp;IF(AND(M339&lt;&gt;"",D339&lt;&gt;"",IFERROR(M339&gt;INDEX(Setup!$F$9:$F$18,MATCH(D339,Setup!$B$9:$B$18,0)),FALSE())),"# Too many tags","")))</f>
        <v/>
      </c>
      <c r="R339" s="16"/>
      <c r="S339" s="19"/>
      <c r="T339" s="19"/>
      <c r="U339" s="19"/>
      <c r="V339" s="19"/>
      <c r="W339" s="19"/>
      <c r="X339" s="19"/>
      <c r="Y339" s="19"/>
      <c r="Z339" s="47" t="str">
        <f aca="false">IF(COUNT(U339:X339)=0,"",SUM(U339:X339))</f>
        <v/>
      </c>
      <c r="AA339" s="48" t="str">
        <f aca="false">IF(OR(Z339="",N(T339)=0),"",Z339/T339)</f>
        <v/>
      </c>
      <c r="AB339" s="45"/>
      <c r="AC339" s="51" t="str">
        <f aca="false">IF(A339="","",A339+N(C339)+ROW()/10^7)</f>
        <v/>
      </c>
      <c r="AD339" s="51" t="str">
        <f aca="false">IF(A339="","",TEXT(A339,"0")&amp;"|"&amp;COUNTIFS('Content Log'!$A$5:$A$504,A339,'Content Log'!$AC$5:$AC$504,"&lt;="&amp;AC339))</f>
        <v/>
      </c>
      <c r="AE339" s="51" t="str">
        <f aca="false">IF(A339="","",IFERROR(INDEX(Setup!$N$9:$N$14,MATCH(O339,Setup!$M$9:$M$14,0))&amp;" ","")&amp;IF(C339="","",TEXT(C339,"h:mm AM/PM")&amp;" ")&amp;D339&amp;IF(H339="",""," · "&amp;H339))</f>
        <v/>
      </c>
      <c r="AF339" s="51" t="str">
        <f aca="false">IF(OR(A339="",AA339=""),"",IF(AND(A339&gt;=Dashboard!$G$4,A339&lt;=Dashboard!$I$4),AA339+ROW()/10^9,""))</f>
        <v/>
      </c>
      <c r="AG339" s="51" t="str">
        <f aca="false">IF(A339="","",WEEKDAY(A339,2))</f>
        <v/>
      </c>
    </row>
    <row r="340" customFormat="false" ht="15" hidden="false" customHeight="false" outlineLevel="0" collapsed="false">
      <c r="A340" s="43"/>
      <c r="B340" s="11" t="str">
        <f aca="false">IF(A340="","",TEXT(A340,"ddd"))</f>
        <v/>
      </c>
      <c r="C340" s="44"/>
      <c r="D340" s="16"/>
      <c r="E340" s="16"/>
      <c r="F340" s="16"/>
      <c r="G340" s="16"/>
      <c r="H340" s="45"/>
      <c r="I340" s="45"/>
      <c r="J340" s="11" t="str">
        <f aca="false">IF(I340="","",LEN(I340))</f>
        <v/>
      </c>
      <c r="K340" s="16"/>
      <c r="L340" s="16"/>
      <c r="M340" s="11" t="str">
        <f aca="false">IF(L340="","",IFERROR(INDEX('Hashtag Bank'!$E$5:$E$104,MATCH(L340,'Hashtag Bank'!$B$5:$B$104,0)),""))</f>
        <v/>
      </c>
      <c r="N340" s="16"/>
      <c r="O340" s="16"/>
      <c r="P340" s="16"/>
      <c r="Q340" s="46" t="str">
        <f aca="true">IF(A340&amp;H340="","",TRIM(IF(AND(A340&lt;&gt;"",A340&lt;TODAY(),O340&lt;&gt;"Published",O340&lt;&gt;"Repurpose"),"⚠ Overdue ","")&amp;IF(AND(J340&lt;&gt;"",D340&lt;&gt;"",IFERROR(J340&gt;INDEX(Setup!$E$9:$E$18,MATCH(D340,Setup!$B$9:$B$18,0)),FALSE())),"✂ Caption too long ","")&amp;IF(AND(M340&lt;&gt;"",D340&lt;&gt;"",IFERROR(M340&gt;INDEX(Setup!$F$9:$F$18,MATCH(D340,Setup!$B$9:$B$18,0)),FALSE())),"# Too many tags","")))</f>
        <v/>
      </c>
      <c r="R340" s="16"/>
      <c r="S340" s="19"/>
      <c r="T340" s="19"/>
      <c r="U340" s="19"/>
      <c r="V340" s="19"/>
      <c r="W340" s="19"/>
      <c r="X340" s="19"/>
      <c r="Y340" s="19"/>
      <c r="Z340" s="47" t="str">
        <f aca="false">IF(COUNT(U340:X340)=0,"",SUM(U340:X340))</f>
        <v/>
      </c>
      <c r="AA340" s="48" t="str">
        <f aca="false">IF(OR(Z340="",N(T340)=0),"",Z340/T340)</f>
        <v/>
      </c>
      <c r="AB340" s="45"/>
      <c r="AC340" s="51" t="str">
        <f aca="false">IF(A340="","",A340+N(C340)+ROW()/10^7)</f>
        <v/>
      </c>
      <c r="AD340" s="51" t="str">
        <f aca="false">IF(A340="","",TEXT(A340,"0")&amp;"|"&amp;COUNTIFS('Content Log'!$A$5:$A$504,A340,'Content Log'!$AC$5:$AC$504,"&lt;="&amp;AC340))</f>
        <v/>
      </c>
      <c r="AE340" s="51" t="str">
        <f aca="false">IF(A340="","",IFERROR(INDEX(Setup!$N$9:$N$14,MATCH(O340,Setup!$M$9:$M$14,0))&amp;" ","")&amp;IF(C340="","",TEXT(C340,"h:mm AM/PM")&amp;" ")&amp;D340&amp;IF(H340="",""," · "&amp;H340))</f>
        <v/>
      </c>
      <c r="AF340" s="51" t="str">
        <f aca="false">IF(OR(A340="",AA340=""),"",IF(AND(A340&gt;=Dashboard!$G$4,A340&lt;=Dashboard!$I$4),AA340+ROW()/10^9,""))</f>
        <v/>
      </c>
      <c r="AG340" s="51" t="str">
        <f aca="false">IF(A340="","",WEEKDAY(A340,2))</f>
        <v/>
      </c>
    </row>
    <row r="341" customFormat="false" ht="15" hidden="false" customHeight="false" outlineLevel="0" collapsed="false">
      <c r="A341" s="43"/>
      <c r="B341" s="11" t="str">
        <f aca="false">IF(A341="","",TEXT(A341,"ddd"))</f>
        <v/>
      </c>
      <c r="C341" s="44"/>
      <c r="D341" s="16"/>
      <c r="E341" s="16"/>
      <c r="F341" s="16"/>
      <c r="G341" s="16"/>
      <c r="H341" s="45"/>
      <c r="I341" s="45"/>
      <c r="J341" s="11" t="str">
        <f aca="false">IF(I341="","",LEN(I341))</f>
        <v/>
      </c>
      <c r="K341" s="16"/>
      <c r="L341" s="16"/>
      <c r="M341" s="11" t="str">
        <f aca="false">IF(L341="","",IFERROR(INDEX('Hashtag Bank'!$E$5:$E$104,MATCH(L341,'Hashtag Bank'!$B$5:$B$104,0)),""))</f>
        <v/>
      </c>
      <c r="N341" s="16"/>
      <c r="O341" s="16"/>
      <c r="P341" s="16"/>
      <c r="Q341" s="46" t="str">
        <f aca="true">IF(A341&amp;H341="","",TRIM(IF(AND(A341&lt;&gt;"",A341&lt;TODAY(),O341&lt;&gt;"Published",O341&lt;&gt;"Repurpose"),"⚠ Overdue ","")&amp;IF(AND(J341&lt;&gt;"",D341&lt;&gt;"",IFERROR(J341&gt;INDEX(Setup!$E$9:$E$18,MATCH(D341,Setup!$B$9:$B$18,0)),FALSE())),"✂ Caption too long ","")&amp;IF(AND(M341&lt;&gt;"",D341&lt;&gt;"",IFERROR(M341&gt;INDEX(Setup!$F$9:$F$18,MATCH(D341,Setup!$B$9:$B$18,0)),FALSE())),"# Too many tags","")))</f>
        <v/>
      </c>
      <c r="R341" s="16"/>
      <c r="S341" s="19"/>
      <c r="T341" s="19"/>
      <c r="U341" s="19"/>
      <c r="V341" s="19"/>
      <c r="W341" s="19"/>
      <c r="X341" s="19"/>
      <c r="Y341" s="19"/>
      <c r="Z341" s="47" t="str">
        <f aca="false">IF(COUNT(U341:X341)=0,"",SUM(U341:X341))</f>
        <v/>
      </c>
      <c r="AA341" s="48" t="str">
        <f aca="false">IF(OR(Z341="",N(T341)=0),"",Z341/T341)</f>
        <v/>
      </c>
      <c r="AB341" s="45"/>
      <c r="AC341" s="51" t="str">
        <f aca="false">IF(A341="","",A341+N(C341)+ROW()/10^7)</f>
        <v/>
      </c>
      <c r="AD341" s="51" t="str">
        <f aca="false">IF(A341="","",TEXT(A341,"0")&amp;"|"&amp;COUNTIFS('Content Log'!$A$5:$A$504,A341,'Content Log'!$AC$5:$AC$504,"&lt;="&amp;AC341))</f>
        <v/>
      </c>
      <c r="AE341" s="51" t="str">
        <f aca="false">IF(A341="","",IFERROR(INDEX(Setup!$N$9:$N$14,MATCH(O341,Setup!$M$9:$M$14,0))&amp;" ","")&amp;IF(C341="","",TEXT(C341,"h:mm AM/PM")&amp;" ")&amp;D341&amp;IF(H341="",""," · "&amp;H341))</f>
        <v/>
      </c>
      <c r="AF341" s="51" t="str">
        <f aca="false">IF(OR(A341="",AA341=""),"",IF(AND(A341&gt;=Dashboard!$G$4,A341&lt;=Dashboard!$I$4),AA341+ROW()/10^9,""))</f>
        <v/>
      </c>
      <c r="AG341" s="51" t="str">
        <f aca="false">IF(A341="","",WEEKDAY(A341,2))</f>
        <v/>
      </c>
    </row>
    <row r="342" customFormat="false" ht="15" hidden="false" customHeight="false" outlineLevel="0" collapsed="false">
      <c r="A342" s="43"/>
      <c r="B342" s="11" t="str">
        <f aca="false">IF(A342="","",TEXT(A342,"ddd"))</f>
        <v/>
      </c>
      <c r="C342" s="44"/>
      <c r="D342" s="16"/>
      <c r="E342" s="16"/>
      <c r="F342" s="16"/>
      <c r="G342" s="16"/>
      <c r="H342" s="45"/>
      <c r="I342" s="45"/>
      <c r="J342" s="11" t="str">
        <f aca="false">IF(I342="","",LEN(I342))</f>
        <v/>
      </c>
      <c r="K342" s="16"/>
      <c r="L342" s="16"/>
      <c r="M342" s="11" t="str">
        <f aca="false">IF(L342="","",IFERROR(INDEX('Hashtag Bank'!$E$5:$E$104,MATCH(L342,'Hashtag Bank'!$B$5:$B$104,0)),""))</f>
        <v/>
      </c>
      <c r="N342" s="16"/>
      <c r="O342" s="16"/>
      <c r="P342" s="16"/>
      <c r="Q342" s="46" t="str">
        <f aca="true">IF(A342&amp;H342="","",TRIM(IF(AND(A342&lt;&gt;"",A342&lt;TODAY(),O342&lt;&gt;"Published",O342&lt;&gt;"Repurpose"),"⚠ Overdue ","")&amp;IF(AND(J342&lt;&gt;"",D342&lt;&gt;"",IFERROR(J342&gt;INDEX(Setup!$E$9:$E$18,MATCH(D342,Setup!$B$9:$B$18,0)),FALSE())),"✂ Caption too long ","")&amp;IF(AND(M342&lt;&gt;"",D342&lt;&gt;"",IFERROR(M342&gt;INDEX(Setup!$F$9:$F$18,MATCH(D342,Setup!$B$9:$B$18,0)),FALSE())),"# Too many tags","")))</f>
        <v/>
      </c>
      <c r="R342" s="16"/>
      <c r="S342" s="19"/>
      <c r="T342" s="19"/>
      <c r="U342" s="19"/>
      <c r="V342" s="19"/>
      <c r="W342" s="19"/>
      <c r="X342" s="19"/>
      <c r="Y342" s="19"/>
      <c r="Z342" s="47" t="str">
        <f aca="false">IF(COUNT(U342:X342)=0,"",SUM(U342:X342))</f>
        <v/>
      </c>
      <c r="AA342" s="48" t="str">
        <f aca="false">IF(OR(Z342="",N(T342)=0),"",Z342/T342)</f>
        <v/>
      </c>
      <c r="AB342" s="45"/>
      <c r="AC342" s="51" t="str">
        <f aca="false">IF(A342="","",A342+N(C342)+ROW()/10^7)</f>
        <v/>
      </c>
      <c r="AD342" s="51" t="str">
        <f aca="false">IF(A342="","",TEXT(A342,"0")&amp;"|"&amp;COUNTIFS('Content Log'!$A$5:$A$504,A342,'Content Log'!$AC$5:$AC$504,"&lt;="&amp;AC342))</f>
        <v/>
      </c>
      <c r="AE342" s="51" t="str">
        <f aca="false">IF(A342="","",IFERROR(INDEX(Setup!$N$9:$N$14,MATCH(O342,Setup!$M$9:$M$14,0))&amp;" ","")&amp;IF(C342="","",TEXT(C342,"h:mm AM/PM")&amp;" ")&amp;D342&amp;IF(H342="",""," · "&amp;H342))</f>
        <v/>
      </c>
      <c r="AF342" s="51" t="str">
        <f aca="false">IF(OR(A342="",AA342=""),"",IF(AND(A342&gt;=Dashboard!$G$4,A342&lt;=Dashboard!$I$4),AA342+ROW()/10^9,""))</f>
        <v/>
      </c>
      <c r="AG342" s="51" t="str">
        <f aca="false">IF(A342="","",WEEKDAY(A342,2))</f>
        <v/>
      </c>
    </row>
    <row r="343" customFormat="false" ht="15" hidden="false" customHeight="false" outlineLevel="0" collapsed="false">
      <c r="A343" s="43"/>
      <c r="B343" s="11" t="str">
        <f aca="false">IF(A343="","",TEXT(A343,"ddd"))</f>
        <v/>
      </c>
      <c r="C343" s="44"/>
      <c r="D343" s="16"/>
      <c r="E343" s="16"/>
      <c r="F343" s="16"/>
      <c r="G343" s="16"/>
      <c r="H343" s="45"/>
      <c r="I343" s="45"/>
      <c r="J343" s="11" t="str">
        <f aca="false">IF(I343="","",LEN(I343))</f>
        <v/>
      </c>
      <c r="K343" s="16"/>
      <c r="L343" s="16"/>
      <c r="M343" s="11" t="str">
        <f aca="false">IF(L343="","",IFERROR(INDEX('Hashtag Bank'!$E$5:$E$104,MATCH(L343,'Hashtag Bank'!$B$5:$B$104,0)),""))</f>
        <v/>
      </c>
      <c r="N343" s="16"/>
      <c r="O343" s="16"/>
      <c r="P343" s="16"/>
      <c r="Q343" s="46" t="str">
        <f aca="true">IF(A343&amp;H343="","",TRIM(IF(AND(A343&lt;&gt;"",A343&lt;TODAY(),O343&lt;&gt;"Published",O343&lt;&gt;"Repurpose"),"⚠ Overdue ","")&amp;IF(AND(J343&lt;&gt;"",D343&lt;&gt;"",IFERROR(J343&gt;INDEX(Setup!$E$9:$E$18,MATCH(D343,Setup!$B$9:$B$18,0)),FALSE())),"✂ Caption too long ","")&amp;IF(AND(M343&lt;&gt;"",D343&lt;&gt;"",IFERROR(M343&gt;INDEX(Setup!$F$9:$F$18,MATCH(D343,Setup!$B$9:$B$18,0)),FALSE())),"# Too many tags","")))</f>
        <v/>
      </c>
      <c r="R343" s="16"/>
      <c r="S343" s="19"/>
      <c r="T343" s="19"/>
      <c r="U343" s="19"/>
      <c r="V343" s="19"/>
      <c r="W343" s="19"/>
      <c r="X343" s="19"/>
      <c r="Y343" s="19"/>
      <c r="Z343" s="47" t="str">
        <f aca="false">IF(COUNT(U343:X343)=0,"",SUM(U343:X343))</f>
        <v/>
      </c>
      <c r="AA343" s="48" t="str">
        <f aca="false">IF(OR(Z343="",N(T343)=0),"",Z343/T343)</f>
        <v/>
      </c>
      <c r="AB343" s="45"/>
      <c r="AC343" s="51" t="str">
        <f aca="false">IF(A343="","",A343+N(C343)+ROW()/10^7)</f>
        <v/>
      </c>
      <c r="AD343" s="51" t="str">
        <f aca="false">IF(A343="","",TEXT(A343,"0")&amp;"|"&amp;COUNTIFS('Content Log'!$A$5:$A$504,A343,'Content Log'!$AC$5:$AC$504,"&lt;="&amp;AC343))</f>
        <v/>
      </c>
      <c r="AE343" s="51" t="str">
        <f aca="false">IF(A343="","",IFERROR(INDEX(Setup!$N$9:$N$14,MATCH(O343,Setup!$M$9:$M$14,0))&amp;" ","")&amp;IF(C343="","",TEXT(C343,"h:mm AM/PM")&amp;" ")&amp;D343&amp;IF(H343="",""," · "&amp;H343))</f>
        <v/>
      </c>
      <c r="AF343" s="51" t="str">
        <f aca="false">IF(OR(A343="",AA343=""),"",IF(AND(A343&gt;=Dashboard!$G$4,A343&lt;=Dashboard!$I$4),AA343+ROW()/10^9,""))</f>
        <v/>
      </c>
      <c r="AG343" s="51" t="str">
        <f aca="false">IF(A343="","",WEEKDAY(A343,2))</f>
        <v/>
      </c>
    </row>
    <row r="344" customFormat="false" ht="15" hidden="false" customHeight="false" outlineLevel="0" collapsed="false">
      <c r="A344" s="43"/>
      <c r="B344" s="11" t="str">
        <f aca="false">IF(A344="","",TEXT(A344,"ddd"))</f>
        <v/>
      </c>
      <c r="C344" s="44"/>
      <c r="D344" s="16"/>
      <c r="E344" s="16"/>
      <c r="F344" s="16"/>
      <c r="G344" s="16"/>
      <c r="H344" s="45"/>
      <c r="I344" s="45"/>
      <c r="J344" s="11" t="str">
        <f aca="false">IF(I344="","",LEN(I344))</f>
        <v/>
      </c>
      <c r="K344" s="16"/>
      <c r="L344" s="16"/>
      <c r="M344" s="11" t="str">
        <f aca="false">IF(L344="","",IFERROR(INDEX('Hashtag Bank'!$E$5:$E$104,MATCH(L344,'Hashtag Bank'!$B$5:$B$104,0)),""))</f>
        <v/>
      </c>
      <c r="N344" s="16"/>
      <c r="O344" s="16"/>
      <c r="P344" s="16"/>
      <c r="Q344" s="46" t="str">
        <f aca="true">IF(A344&amp;H344="","",TRIM(IF(AND(A344&lt;&gt;"",A344&lt;TODAY(),O344&lt;&gt;"Published",O344&lt;&gt;"Repurpose"),"⚠ Overdue ","")&amp;IF(AND(J344&lt;&gt;"",D344&lt;&gt;"",IFERROR(J344&gt;INDEX(Setup!$E$9:$E$18,MATCH(D344,Setup!$B$9:$B$18,0)),FALSE())),"✂ Caption too long ","")&amp;IF(AND(M344&lt;&gt;"",D344&lt;&gt;"",IFERROR(M344&gt;INDEX(Setup!$F$9:$F$18,MATCH(D344,Setup!$B$9:$B$18,0)),FALSE())),"# Too many tags","")))</f>
        <v/>
      </c>
      <c r="R344" s="16"/>
      <c r="S344" s="19"/>
      <c r="T344" s="19"/>
      <c r="U344" s="19"/>
      <c r="V344" s="19"/>
      <c r="W344" s="19"/>
      <c r="X344" s="19"/>
      <c r="Y344" s="19"/>
      <c r="Z344" s="47" t="str">
        <f aca="false">IF(COUNT(U344:X344)=0,"",SUM(U344:X344))</f>
        <v/>
      </c>
      <c r="AA344" s="48" t="str">
        <f aca="false">IF(OR(Z344="",N(T344)=0),"",Z344/T344)</f>
        <v/>
      </c>
      <c r="AB344" s="45"/>
      <c r="AC344" s="51" t="str">
        <f aca="false">IF(A344="","",A344+N(C344)+ROW()/10^7)</f>
        <v/>
      </c>
      <c r="AD344" s="51" t="str">
        <f aca="false">IF(A344="","",TEXT(A344,"0")&amp;"|"&amp;COUNTIFS('Content Log'!$A$5:$A$504,A344,'Content Log'!$AC$5:$AC$504,"&lt;="&amp;AC344))</f>
        <v/>
      </c>
      <c r="AE344" s="51" t="str">
        <f aca="false">IF(A344="","",IFERROR(INDEX(Setup!$N$9:$N$14,MATCH(O344,Setup!$M$9:$M$14,0))&amp;" ","")&amp;IF(C344="","",TEXT(C344,"h:mm AM/PM")&amp;" ")&amp;D344&amp;IF(H344="",""," · "&amp;H344))</f>
        <v/>
      </c>
      <c r="AF344" s="51" t="str">
        <f aca="false">IF(OR(A344="",AA344=""),"",IF(AND(A344&gt;=Dashboard!$G$4,A344&lt;=Dashboard!$I$4),AA344+ROW()/10^9,""))</f>
        <v/>
      </c>
      <c r="AG344" s="51" t="str">
        <f aca="false">IF(A344="","",WEEKDAY(A344,2))</f>
        <v/>
      </c>
    </row>
    <row r="345" customFormat="false" ht="15" hidden="false" customHeight="false" outlineLevel="0" collapsed="false">
      <c r="A345" s="43"/>
      <c r="B345" s="11" t="str">
        <f aca="false">IF(A345="","",TEXT(A345,"ddd"))</f>
        <v/>
      </c>
      <c r="C345" s="44"/>
      <c r="D345" s="16"/>
      <c r="E345" s="16"/>
      <c r="F345" s="16"/>
      <c r="G345" s="16"/>
      <c r="H345" s="45"/>
      <c r="I345" s="45"/>
      <c r="J345" s="11" t="str">
        <f aca="false">IF(I345="","",LEN(I345))</f>
        <v/>
      </c>
      <c r="K345" s="16"/>
      <c r="L345" s="16"/>
      <c r="M345" s="11" t="str">
        <f aca="false">IF(L345="","",IFERROR(INDEX('Hashtag Bank'!$E$5:$E$104,MATCH(L345,'Hashtag Bank'!$B$5:$B$104,0)),""))</f>
        <v/>
      </c>
      <c r="N345" s="16"/>
      <c r="O345" s="16"/>
      <c r="P345" s="16"/>
      <c r="Q345" s="46" t="str">
        <f aca="true">IF(A345&amp;H345="","",TRIM(IF(AND(A345&lt;&gt;"",A345&lt;TODAY(),O345&lt;&gt;"Published",O345&lt;&gt;"Repurpose"),"⚠ Overdue ","")&amp;IF(AND(J345&lt;&gt;"",D345&lt;&gt;"",IFERROR(J345&gt;INDEX(Setup!$E$9:$E$18,MATCH(D345,Setup!$B$9:$B$18,0)),FALSE())),"✂ Caption too long ","")&amp;IF(AND(M345&lt;&gt;"",D345&lt;&gt;"",IFERROR(M345&gt;INDEX(Setup!$F$9:$F$18,MATCH(D345,Setup!$B$9:$B$18,0)),FALSE())),"# Too many tags","")))</f>
        <v/>
      </c>
      <c r="R345" s="16"/>
      <c r="S345" s="19"/>
      <c r="T345" s="19"/>
      <c r="U345" s="19"/>
      <c r="V345" s="19"/>
      <c r="W345" s="19"/>
      <c r="X345" s="19"/>
      <c r="Y345" s="19"/>
      <c r="Z345" s="47" t="str">
        <f aca="false">IF(COUNT(U345:X345)=0,"",SUM(U345:X345))</f>
        <v/>
      </c>
      <c r="AA345" s="48" t="str">
        <f aca="false">IF(OR(Z345="",N(T345)=0),"",Z345/T345)</f>
        <v/>
      </c>
      <c r="AB345" s="45"/>
      <c r="AC345" s="51" t="str">
        <f aca="false">IF(A345="","",A345+N(C345)+ROW()/10^7)</f>
        <v/>
      </c>
      <c r="AD345" s="51" t="str">
        <f aca="false">IF(A345="","",TEXT(A345,"0")&amp;"|"&amp;COUNTIFS('Content Log'!$A$5:$A$504,A345,'Content Log'!$AC$5:$AC$504,"&lt;="&amp;AC345))</f>
        <v/>
      </c>
      <c r="AE345" s="51" t="str">
        <f aca="false">IF(A345="","",IFERROR(INDEX(Setup!$N$9:$N$14,MATCH(O345,Setup!$M$9:$M$14,0))&amp;" ","")&amp;IF(C345="","",TEXT(C345,"h:mm AM/PM")&amp;" ")&amp;D345&amp;IF(H345="",""," · "&amp;H345))</f>
        <v/>
      </c>
      <c r="AF345" s="51" t="str">
        <f aca="false">IF(OR(A345="",AA345=""),"",IF(AND(A345&gt;=Dashboard!$G$4,A345&lt;=Dashboard!$I$4),AA345+ROW()/10^9,""))</f>
        <v/>
      </c>
      <c r="AG345" s="51" t="str">
        <f aca="false">IF(A345="","",WEEKDAY(A345,2))</f>
        <v/>
      </c>
    </row>
    <row r="346" customFormat="false" ht="15" hidden="false" customHeight="false" outlineLevel="0" collapsed="false">
      <c r="A346" s="43"/>
      <c r="B346" s="11" t="str">
        <f aca="false">IF(A346="","",TEXT(A346,"ddd"))</f>
        <v/>
      </c>
      <c r="C346" s="44"/>
      <c r="D346" s="16"/>
      <c r="E346" s="16"/>
      <c r="F346" s="16"/>
      <c r="G346" s="16"/>
      <c r="H346" s="45"/>
      <c r="I346" s="45"/>
      <c r="J346" s="11" t="str">
        <f aca="false">IF(I346="","",LEN(I346))</f>
        <v/>
      </c>
      <c r="K346" s="16"/>
      <c r="L346" s="16"/>
      <c r="M346" s="11" t="str">
        <f aca="false">IF(L346="","",IFERROR(INDEX('Hashtag Bank'!$E$5:$E$104,MATCH(L346,'Hashtag Bank'!$B$5:$B$104,0)),""))</f>
        <v/>
      </c>
      <c r="N346" s="16"/>
      <c r="O346" s="16"/>
      <c r="P346" s="16"/>
      <c r="Q346" s="46" t="str">
        <f aca="true">IF(A346&amp;H346="","",TRIM(IF(AND(A346&lt;&gt;"",A346&lt;TODAY(),O346&lt;&gt;"Published",O346&lt;&gt;"Repurpose"),"⚠ Overdue ","")&amp;IF(AND(J346&lt;&gt;"",D346&lt;&gt;"",IFERROR(J346&gt;INDEX(Setup!$E$9:$E$18,MATCH(D346,Setup!$B$9:$B$18,0)),FALSE())),"✂ Caption too long ","")&amp;IF(AND(M346&lt;&gt;"",D346&lt;&gt;"",IFERROR(M346&gt;INDEX(Setup!$F$9:$F$18,MATCH(D346,Setup!$B$9:$B$18,0)),FALSE())),"# Too many tags","")))</f>
        <v/>
      </c>
      <c r="R346" s="16"/>
      <c r="S346" s="19"/>
      <c r="T346" s="19"/>
      <c r="U346" s="19"/>
      <c r="V346" s="19"/>
      <c r="W346" s="19"/>
      <c r="X346" s="19"/>
      <c r="Y346" s="19"/>
      <c r="Z346" s="47" t="str">
        <f aca="false">IF(COUNT(U346:X346)=0,"",SUM(U346:X346))</f>
        <v/>
      </c>
      <c r="AA346" s="48" t="str">
        <f aca="false">IF(OR(Z346="",N(T346)=0),"",Z346/T346)</f>
        <v/>
      </c>
      <c r="AB346" s="45"/>
      <c r="AC346" s="51" t="str">
        <f aca="false">IF(A346="","",A346+N(C346)+ROW()/10^7)</f>
        <v/>
      </c>
      <c r="AD346" s="51" t="str">
        <f aca="false">IF(A346="","",TEXT(A346,"0")&amp;"|"&amp;COUNTIFS('Content Log'!$A$5:$A$504,A346,'Content Log'!$AC$5:$AC$504,"&lt;="&amp;AC346))</f>
        <v/>
      </c>
      <c r="AE346" s="51" t="str">
        <f aca="false">IF(A346="","",IFERROR(INDEX(Setup!$N$9:$N$14,MATCH(O346,Setup!$M$9:$M$14,0))&amp;" ","")&amp;IF(C346="","",TEXT(C346,"h:mm AM/PM")&amp;" ")&amp;D346&amp;IF(H346="",""," · "&amp;H346))</f>
        <v/>
      </c>
      <c r="AF346" s="51" t="str">
        <f aca="false">IF(OR(A346="",AA346=""),"",IF(AND(A346&gt;=Dashboard!$G$4,A346&lt;=Dashboard!$I$4),AA346+ROW()/10^9,""))</f>
        <v/>
      </c>
      <c r="AG346" s="51" t="str">
        <f aca="false">IF(A346="","",WEEKDAY(A346,2))</f>
        <v/>
      </c>
    </row>
    <row r="347" customFormat="false" ht="15" hidden="false" customHeight="false" outlineLevel="0" collapsed="false">
      <c r="A347" s="43"/>
      <c r="B347" s="11" t="str">
        <f aca="false">IF(A347="","",TEXT(A347,"ddd"))</f>
        <v/>
      </c>
      <c r="C347" s="44"/>
      <c r="D347" s="16"/>
      <c r="E347" s="16"/>
      <c r="F347" s="16"/>
      <c r="G347" s="16"/>
      <c r="H347" s="45"/>
      <c r="I347" s="45"/>
      <c r="J347" s="11" t="str">
        <f aca="false">IF(I347="","",LEN(I347))</f>
        <v/>
      </c>
      <c r="K347" s="16"/>
      <c r="L347" s="16"/>
      <c r="M347" s="11" t="str">
        <f aca="false">IF(L347="","",IFERROR(INDEX('Hashtag Bank'!$E$5:$E$104,MATCH(L347,'Hashtag Bank'!$B$5:$B$104,0)),""))</f>
        <v/>
      </c>
      <c r="N347" s="16"/>
      <c r="O347" s="16"/>
      <c r="P347" s="16"/>
      <c r="Q347" s="46" t="str">
        <f aca="true">IF(A347&amp;H347="","",TRIM(IF(AND(A347&lt;&gt;"",A347&lt;TODAY(),O347&lt;&gt;"Published",O347&lt;&gt;"Repurpose"),"⚠ Overdue ","")&amp;IF(AND(J347&lt;&gt;"",D347&lt;&gt;"",IFERROR(J347&gt;INDEX(Setup!$E$9:$E$18,MATCH(D347,Setup!$B$9:$B$18,0)),FALSE())),"✂ Caption too long ","")&amp;IF(AND(M347&lt;&gt;"",D347&lt;&gt;"",IFERROR(M347&gt;INDEX(Setup!$F$9:$F$18,MATCH(D347,Setup!$B$9:$B$18,0)),FALSE())),"# Too many tags","")))</f>
        <v/>
      </c>
      <c r="R347" s="16"/>
      <c r="S347" s="19"/>
      <c r="T347" s="19"/>
      <c r="U347" s="19"/>
      <c r="V347" s="19"/>
      <c r="W347" s="19"/>
      <c r="X347" s="19"/>
      <c r="Y347" s="19"/>
      <c r="Z347" s="47" t="str">
        <f aca="false">IF(COUNT(U347:X347)=0,"",SUM(U347:X347))</f>
        <v/>
      </c>
      <c r="AA347" s="48" t="str">
        <f aca="false">IF(OR(Z347="",N(T347)=0),"",Z347/T347)</f>
        <v/>
      </c>
      <c r="AB347" s="45"/>
      <c r="AC347" s="51" t="str">
        <f aca="false">IF(A347="","",A347+N(C347)+ROW()/10^7)</f>
        <v/>
      </c>
      <c r="AD347" s="51" t="str">
        <f aca="false">IF(A347="","",TEXT(A347,"0")&amp;"|"&amp;COUNTIFS('Content Log'!$A$5:$A$504,A347,'Content Log'!$AC$5:$AC$504,"&lt;="&amp;AC347))</f>
        <v/>
      </c>
      <c r="AE347" s="51" t="str">
        <f aca="false">IF(A347="","",IFERROR(INDEX(Setup!$N$9:$N$14,MATCH(O347,Setup!$M$9:$M$14,0))&amp;" ","")&amp;IF(C347="","",TEXT(C347,"h:mm AM/PM")&amp;" ")&amp;D347&amp;IF(H347="",""," · "&amp;H347))</f>
        <v/>
      </c>
      <c r="AF347" s="51" t="str">
        <f aca="false">IF(OR(A347="",AA347=""),"",IF(AND(A347&gt;=Dashboard!$G$4,A347&lt;=Dashboard!$I$4),AA347+ROW()/10^9,""))</f>
        <v/>
      </c>
      <c r="AG347" s="51" t="str">
        <f aca="false">IF(A347="","",WEEKDAY(A347,2))</f>
        <v/>
      </c>
    </row>
    <row r="348" customFormat="false" ht="15" hidden="false" customHeight="false" outlineLevel="0" collapsed="false">
      <c r="A348" s="43"/>
      <c r="B348" s="11" t="str">
        <f aca="false">IF(A348="","",TEXT(A348,"ddd"))</f>
        <v/>
      </c>
      <c r="C348" s="44"/>
      <c r="D348" s="16"/>
      <c r="E348" s="16"/>
      <c r="F348" s="16"/>
      <c r="G348" s="16"/>
      <c r="H348" s="45"/>
      <c r="I348" s="45"/>
      <c r="J348" s="11" t="str">
        <f aca="false">IF(I348="","",LEN(I348))</f>
        <v/>
      </c>
      <c r="K348" s="16"/>
      <c r="L348" s="16"/>
      <c r="M348" s="11" t="str">
        <f aca="false">IF(L348="","",IFERROR(INDEX('Hashtag Bank'!$E$5:$E$104,MATCH(L348,'Hashtag Bank'!$B$5:$B$104,0)),""))</f>
        <v/>
      </c>
      <c r="N348" s="16"/>
      <c r="O348" s="16"/>
      <c r="P348" s="16"/>
      <c r="Q348" s="46" t="str">
        <f aca="true">IF(A348&amp;H348="","",TRIM(IF(AND(A348&lt;&gt;"",A348&lt;TODAY(),O348&lt;&gt;"Published",O348&lt;&gt;"Repurpose"),"⚠ Overdue ","")&amp;IF(AND(J348&lt;&gt;"",D348&lt;&gt;"",IFERROR(J348&gt;INDEX(Setup!$E$9:$E$18,MATCH(D348,Setup!$B$9:$B$18,0)),FALSE())),"✂ Caption too long ","")&amp;IF(AND(M348&lt;&gt;"",D348&lt;&gt;"",IFERROR(M348&gt;INDEX(Setup!$F$9:$F$18,MATCH(D348,Setup!$B$9:$B$18,0)),FALSE())),"# Too many tags","")))</f>
        <v/>
      </c>
      <c r="R348" s="16"/>
      <c r="S348" s="19"/>
      <c r="T348" s="19"/>
      <c r="U348" s="19"/>
      <c r="V348" s="19"/>
      <c r="W348" s="19"/>
      <c r="X348" s="19"/>
      <c r="Y348" s="19"/>
      <c r="Z348" s="47" t="str">
        <f aca="false">IF(COUNT(U348:X348)=0,"",SUM(U348:X348))</f>
        <v/>
      </c>
      <c r="AA348" s="48" t="str">
        <f aca="false">IF(OR(Z348="",N(T348)=0),"",Z348/T348)</f>
        <v/>
      </c>
      <c r="AB348" s="45"/>
      <c r="AC348" s="51" t="str">
        <f aca="false">IF(A348="","",A348+N(C348)+ROW()/10^7)</f>
        <v/>
      </c>
      <c r="AD348" s="51" t="str">
        <f aca="false">IF(A348="","",TEXT(A348,"0")&amp;"|"&amp;COUNTIFS('Content Log'!$A$5:$A$504,A348,'Content Log'!$AC$5:$AC$504,"&lt;="&amp;AC348))</f>
        <v/>
      </c>
      <c r="AE348" s="51" t="str">
        <f aca="false">IF(A348="","",IFERROR(INDEX(Setup!$N$9:$N$14,MATCH(O348,Setup!$M$9:$M$14,0))&amp;" ","")&amp;IF(C348="","",TEXT(C348,"h:mm AM/PM")&amp;" ")&amp;D348&amp;IF(H348="",""," · "&amp;H348))</f>
        <v/>
      </c>
      <c r="AF348" s="51" t="str">
        <f aca="false">IF(OR(A348="",AA348=""),"",IF(AND(A348&gt;=Dashboard!$G$4,A348&lt;=Dashboard!$I$4),AA348+ROW()/10^9,""))</f>
        <v/>
      </c>
      <c r="AG348" s="51" t="str">
        <f aca="false">IF(A348="","",WEEKDAY(A348,2))</f>
        <v/>
      </c>
    </row>
    <row r="349" customFormat="false" ht="15" hidden="false" customHeight="false" outlineLevel="0" collapsed="false">
      <c r="A349" s="43"/>
      <c r="B349" s="11" t="str">
        <f aca="false">IF(A349="","",TEXT(A349,"ddd"))</f>
        <v/>
      </c>
      <c r="C349" s="44"/>
      <c r="D349" s="16"/>
      <c r="E349" s="16"/>
      <c r="F349" s="16"/>
      <c r="G349" s="16"/>
      <c r="H349" s="45"/>
      <c r="I349" s="45"/>
      <c r="J349" s="11" t="str">
        <f aca="false">IF(I349="","",LEN(I349))</f>
        <v/>
      </c>
      <c r="K349" s="16"/>
      <c r="L349" s="16"/>
      <c r="M349" s="11" t="str">
        <f aca="false">IF(L349="","",IFERROR(INDEX('Hashtag Bank'!$E$5:$E$104,MATCH(L349,'Hashtag Bank'!$B$5:$B$104,0)),""))</f>
        <v/>
      </c>
      <c r="N349" s="16"/>
      <c r="O349" s="16"/>
      <c r="P349" s="16"/>
      <c r="Q349" s="46" t="str">
        <f aca="true">IF(A349&amp;H349="","",TRIM(IF(AND(A349&lt;&gt;"",A349&lt;TODAY(),O349&lt;&gt;"Published",O349&lt;&gt;"Repurpose"),"⚠ Overdue ","")&amp;IF(AND(J349&lt;&gt;"",D349&lt;&gt;"",IFERROR(J349&gt;INDEX(Setup!$E$9:$E$18,MATCH(D349,Setup!$B$9:$B$18,0)),FALSE())),"✂ Caption too long ","")&amp;IF(AND(M349&lt;&gt;"",D349&lt;&gt;"",IFERROR(M349&gt;INDEX(Setup!$F$9:$F$18,MATCH(D349,Setup!$B$9:$B$18,0)),FALSE())),"# Too many tags","")))</f>
        <v/>
      </c>
      <c r="R349" s="16"/>
      <c r="S349" s="19"/>
      <c r="T349" s="19"/>
      <c r="U349" s="19"/>
      <c r="V349" s="19"/>
      <c r="W349" s="19"/>
      <c r="X349" s="19"/>
      <c r="Y349" s="19"/>
      <c r="Z349" s="47" t="str">
        <f aca="false">IF(COUNT(U349:X349)=0,"",SUM(U349:X349))</f>
        <v/>
      </c>
      <c r="AA349" s="48" t="str">
        <f aca="false">IF(OR(Z349="",N(T349)=0),"",Z349/T349)</f>
        <v/>
      </c>
      <c r="AB349" s="45"/>
      <c r="AC349" s="51" t="str">
        <f aca="false">IF(A349="","",A349+N(C349)+ROW()/10^7)</f>
        <v/>
      </c>
      <c r="AD349" s="51" t="str">
        <f aca="false">IF(A349="","",TEXT(A349,"0")&amp;"|"&amp;COUNTIFS('Content Log'!$A$5:$A$504,A349,'Content Log'!$AC$5:$AC$504,"&lt;="&amp;AC349))</f>
        <v/>
      </c>
      <c r="AE349" s="51" t="str">
        <f aca="false">IF(A349="","",IFERROR(INDEX(Setup!$N$9:$N$14,MATCH(O349,Setup!$M$9:$M$14,0))&amp;" ","")&amp;IF(C349="","",TEXT(C349,"h:mm AM/PM")&amp;" ")&amp;D349&amp;IF(H349="",""," · "&amp;H349))</f>
        <v/>
      </c>
      <c r="AF349" s="51" t="str">
        <f aca="false">IF(OR(A349="",AA349=""),"",IF(AND(A349&gt;=Dashboard!$G$4,A349&lt;=Dashboard!$I$4),AA349+ROW()/10^9,""))</f>
        <v/>
      </c>
      <c r="AG349" s="51" t="str">
        <f aca="false">IF(A349="","",WEEKDAY(A349,2))</f>
        <v/>
      </c>
    </row>
    <row r="350" customFormat="false" ht="15" hidden="false" customHeight="false" outlineLevel="0" collapsed="false">
      <c r="A350" s="43"/>
      <c r="B350" s="11" t="str">
        <f aca="false">IF(A350="","",TEXT(A350,"ddd"))</f>
        <v/>
      </c>
      <c r="C350" s="44"/>
      <c r="D350" s="16"/>
      <c r="E350" s="16"/>
      <c r="F350" s="16"/>
      <c r="G350" s="16"/>
      <c r="H350" s="45"/>
      <c r="I350" s="45"/>
      <c r="J350" s="11" t="str">
        <f aca="false">IF(I350="","",LEN(I350))</f>
        <v/>
      </c>
      <c r="K350" s="16"/>
      <c r="L350" s="16"/>
      <c r="M350" s="11" t="str">
        <f aca="false">IF(L350="","",IFERROR(INDEX('Hashtag Bank'!$E$5:$E$104,MATCH(L350,'Hashtag Bank'!$B$5:$B$104,0)),""))</f>
        <v/>
      </c>
      <c r="N350" s="16"/>
      <c r="O350" s="16"/>
      <c r="P350" s="16"/>
      <c r="Q350" s="46" t="str">
        <f aca="true">IF(A350&amp;H350="","",TRIM(IF(AND(A350&lt;&gt;"",A350&lt;TODAY(),O350&lt;&gt;"Published",O350&lt;&gt;"Repurpose"),"⚠ Overdue ","")&amp;IF(AND(J350&lt;&gt;"",D350&lt;&gt;"",IFERROR(J350&gt;INDEX(Setup!$E$9:$E$18,MATCH(D350,Setup!$B$9:$B$18,0)),FALSE())),"✂ Caption too long ","")&amp;IF(AND(M350&lt;&gt;"",D350&lt;&gt;"",IFERROR(M350&gt;INDEX(Setup!$F$9:$F$18,MATCH(D350,Setup!$B$9:$B$18,0)),FALSE())),"# Too many tags","")))</f>
        <v/>
      </c>
      <c r="R350" s="16"/>
      <c r="S350" s="19"/>
      <c r="T350" s="19"/>
      <c r="U350" s="19"/>
      <c r="V350" s="19"/>
      <c r="W350" s="19"/>
      <c r="X350" s="19"/>
      <c r="Y350" s="19"/>
      <c r="Z350" s="47" t="str">
        <f aca="false">IF(COUNT(U350:X350)=0,"",SUM(U350:X350))</f>
        <v/>
      </c>
      <c r="AA350" s="48" t="str">
        <f aca="false">IF(OR(Z350="",N(T350)=0),"",Z350/T350)</f>
        <v/>
      </c>
      <c r="AB350" s="45"/>
      <c r="AC350" s="51" t="str">
        <f aca="false">IF(A350="","",A350+N(C350)+ROW()/10^7)</f>
        <v/>
      </c>
      <c r="AD350" s="51" t="str">
        <f aca="false">IF(A350="","",TEXT(A350,"0")&amp;"|"&amp;COUNTIFS('Content Log'!$A$5:$A$504,A350,'Content Log'!$AC$5:$AC$504,"&lt;="&amp;AC350))</f>
        <v/>
      </c>
      <c r="AE350" s="51" t="str">
        <f aca="false">IF(A350="","",IFERROR(INDEX(Setup!$N$9:$N$14,MATCH(O350,Setup!$M$9:$M$14,0))&amp;" ","")&amp;IF(C350="","",TEXT(C350,"h:mm AM/PM")&amp;" ")&amp;D350&amp;IF(H350="",""," · "&amp;H350))</f>
        <v/>
      </c>
      <c r="AF350" s="51" t="str">
        <f aca="false">IF(OR(A350="",AA350=""),"",IF(AND(A350&gt;=Dashboard!$G$4,A350&lt;=Dashboard!$I$4),AA350+ROW()/10^9,""))</f>
        <v/>
      </c>
      <c r="AG350" s="51" t="str">
        <f aca="false">IF(A350="","",WEEKDAY(A350,2))</f>
        <v/>
      </c>
    </row>
    <row r="351" customFormat="false" ht="15" hidden="false" customHeight="false" outlineLevel="0" collapsed="false">
      <c r="A351" s="43"/>
      <c r="B351" s="11" t="str">
        <f aca="false">IF(A351="","",TEXT(A351,"ddd"))</f>
        <v/>
      </c>
      <c r="C351" s="44"/>
      <c r="D351" s="16"/>
      <c r="E351" s="16"/>
      <c r="F351" s="16"/>
      <c r="G351" s="16"/>
      <c r="H351" s="45"/>
      <c r="I351" s="45"/>
      <c r="J351" s="11" t="str">
        <f aca="false">IF(I351="","",LEN(I351))</f>
        <v/>
      </c>
      <c r="K351" s="16"/>
      <c r="L351" s="16"/>
      <c r="M351" s="11" t="str">
        <f aca="false">IF(L351="","",IFERROR(INDEX('Hashtag Bank'!$E$5:$E$104,MATCH(L351,'Hashtag Bank'!$B$5:$B$104,0)),""))</f>
        <v/>
      </c>
      <c r="N351" s="16"/>
      <c r="O351" s="16"/>
      <c r="P351" s="16"/>
      <c r="Q351" s="46" t="str">
        <f aca="true">IF(A351&amp;H351="","",TRIM(IF(AND(A351&lt;&gt;"",A351&lt;TODAY(),O351&lt;&gt;"Published",O351&lt;&gt;"Repurpose"),"⚠ Overdue ","")&amp;IF(AND(J351&lt;&gt;"",D351&lt;&gt;"",IFERROR(J351&gt;INDEX(Setup!$E$9:$E$18,MATCH(D351,Setup!$B$9:$B$18,0)),FALSE())),"✂ Caption too long ","")&amp;IF(AND(M351&lt;&gt;"",D351&lt;&gt;"",IFERROR(M351&gt;INDEX(Setup!$F$9:$F$18,MATCH(D351,Setup!$B$9:$B$18,0)),FALSE())),"# Too many tags","")))</f>
        <v/>
      </c>
      <c r="R351" s="16"/>
      <c r="S351" s="19"/>
      <c r="T351" s="19"/>
      <c r="U351" s="19"/>
      <c r="V351" s="19"/>
      <c r="W351" s="19"/>
      <c r="X351" s="19"/>
      <c r="Y351" s="19"/>
      <c r="Z351" s="47" t="str">
        <f aca="false">IF(COUNT(U351:X351)=0,"",SUM(U351:X351))</f>
        <v/>
      </c>
      <c r="AA351" s="48" t="str">
        <f aca="false">IF(OR(Z351="",N(T351)=0),"",Z351/T351)</f>
        <v/>
      </c>
      <c r="AB351" s="45"/>
      <c r="AC351" s="51" t="str">
        <f aca="false">IF(A351="","",A351+N(C351)+ROW()/10^7)</f>
        <v/>
      </c>
      <c r="AD351" s="51" t="str">
        <f aca="false">IF(A351="","",TEXT(A351,"0")&amp;"|"&amp;COUNTIFS('Content Log'!$A$5:$A$504,A351,'Content Log'!$AC$5:$AC$504,"&lt;="&amp;AC351))</f>
        <v/>
      </c>
      <c r="AE351" s="51" t="str">
        <f aca="false">IF(A351="","",IFERROR(INDEX(Setup!$N$9:$N$14,MATCH(O351,Setup!$M$9:$M$14,0))&amp;" ","")&amp;IF(C351="","",TEXT(C351,"h:mm AM/PM")&amp;" ")&amp;D351&amp;IF(H351="",""," · "&amp;H351))</f>
        <v/>
      </c>
      <c r="AF351" s="51" t="str">
        <f aca="false">IF(OR(A351="",AA351=""),"",IF(AND(A351&gt;=Dashboard!$G$4,A351&lt;=Dashboard!$I$4),AA351+ROW()/10^9,""))</f>
        <v/>
      </c>
      <c r="AG351" s="51" t="str">
        <f aca="false">IF(A351="","",WEEKDAY(A351,2))</f>
        <v/>
      </c>
    </row>
    <row r="352" customFormat="false" ht="15" hidden="false" customHeight="false" outlineLevel="0" collapsed="false">
      <c r="A352" s="43"/>
      <c r="B352" s="11" t="str">
        <f aca="false">IF(A352="","",TEXT(A352,"ddd"))</f>
        <v/>
      </c>
      <c r="C352" s="44"/>
      <c r="D352" s="16"/>
      <c r="E352" s="16"/>
      <c r="F352" s="16"/>
      <c r="G352" s="16"/>
      <c r="H352" s="45"/>
      <c r="I352" s="45"/>
      <c r="J352" s="11" t="str">
        <f aca="false">IF(I352="","",LEN(I352))</f>
        <v/>
      </c>
      <c r="K352" s="16"/>
      <c r="L352" s="16"/>
      <c r="M352" s="11" t="str">
        <f aca="false">IF(L352="","",IFERROR(INDEX('Hashtag Bank'!$E$5:$E$104,MATCH(L352,'Hashtag Bank'!$B$5:$B$104,0)),""))</f>
        <v/>
      </c>
      <c r="N352" s="16"/>
      <c r="O352" s="16"/>
      <c r="P352" s="16"/>
      <c r="Q352" s="46" t="str">
        <f aca="true">IF(A352&amp;H352="","",TRIM(IF(AND(A352&lt;&gt;"",A352&lt;TODAY(),O352&lt;&gt;"Published",O352&lt;&gt;"Repurpose"),"⚠ Overdue ","")&amp;IF(AND(J352&lt;&gt;"",D352&lt;&gt;"",IFERROR(J352&gt;INDEX(Setup!$E$9:$E$18,MATCH(D352,Setup!$B$9:$B$18,0)),FALSE())),"✂ Caption too long ","")&amp;IF(AND(M352&lt;&gt;"",D352&lt;&gt;"",IFERROR(M352&gt;INDEX(Setup!$F$9:$F$18,MATCH(D352,Setup!$B$9:$B$18,0)),FALSE())),"# Too many tags","")))</f>
        <v/>
      </c>
      <c r="R352" s="16"/>
      <c r="S352" s="19"/>
      <c r="T352" s="19"/>
      <c r="U352" s="19"/>
      <c r="V352" s="19"/>
      <c r="W352" s="19"/>
      <c r="X352" s="19"/>
      <c r="Y352" s="19"/>
      <c r="Z352" s="47" t="str">
        <f aca="false">IF(COUNT(U352:X352)=0,"",SUM(U352:X352))</f>
        <v/>
      </c>
      <c r="AA352" s="48" t="str">
        <f aca="false">IF(OR(Z352="",N(T352)=0),"",Z352/T352)</f>
        <v/>
      </c>
      <c r="AB352" s="45"/>
      <c r="AC352" s="51" t="str">
        <f aca="false">IF(A352="","",A352+N(C352)+ROW()/10^7)</f>
        <v/>
      </c>
      <c r="AD352" s="51" t="str">
        <f aca="false">IF(A352="","",TEXT(A352,"0")&amp;"|"&amp;COUNTIFS('Content Log'!$A$5:$A$504,A352,'Content Log'!$AC$5:$AC$504,"&lt;="&amp;AC352))</f>
        <v/>
      </c>
      <c r="AE352" s="51" t="str">
        <f aca="false">IF(A352="","",IFERROR(INDEX(Setup!$N$9:$N$14,MATCH(O352,Setup!$M$9:$M$14,0))&amp;" ","")&amp;IF(C352="","",TEXT(C352,"h:mm AM/PM")&amp;" ")&amp;D352&amp;IF(H352="",""," · "&amp;H352))</f>
        <v/>
      </c>
      <c r="AF352" s="51" t="str">
        <f aca="false">IF(OR(A352="",AA352=""),"",IF(AND(A352&gt;=Dashboard!$G$4,A352&lt;=Dashboard!$I$4),AA352+ROW()/10^9,""))</f>
        <v/>
      </c>
      <c r="AG352" s="51" t="str">
        <f aca="false">IF(A352="","",WEEKDAY(A352,2))</f>
        <v/>
      </c>
    </row>
    <row r="353" customFormat="false" ht="15" hidden="false" customHeight="false" outlineLevel="0" collapsed="false">
      <c r="A353" s="43"/>
      <c r="B353" s="11" t="str">
        <f aca="false">IF(A353="","",TEXT(A353,"ddd"))</f>
        <v/>
      </c>
      <c r="C353" s="44"/>
      <c r="D353" s="16"/>
      <c r="E353" s="16"/>
      <c r="F353" s="16"/>
      <c r="G353" s="16"/>
      <c r="H353" s="45"/>
      <c r="I353" s="45"/>
      <c r="J353" s="11" t="str">
        <f aca="false">IF(I353="","",LEN(I353))</f>
        <v/>
      </c>
      <c r="K353" s="16"/>
      <c r="L353" s="16"/>
      <c r="M353" s="11" t="str">
        <f aca="false">IF(L353="","",IFERROR(INDEX('Hashtag Bank'!$E$5:$E$104,MATCH(L353,'Hashtag Bank'!$B$5:$B$104,0)),""))</f>
        <v/>
      </c>
      <c r="N353" s="16"/>
      <c r="O353" s="16"/>
      <c r="P353" s="16"/>
      <c r="Q353" s="46" t="str">
        <f aca="true">IF(A353&amp;H353="","",TRIM(IF(AND(A353&lt;&gt;"",A353&lt;TODAY(),O353&lt;&gt;"Published",O353&lt;&gt;"Repurpose"),"⚠ Overdue ","")&amp;IF(AND(J353&lt;&gt;"",D353&lt;&gt;"",IFERROR(J353&gt;INDEX(Setup!$E$9:$E$18,MATCH(D353,Setup!$B$9:$B$18,0)),FALSE())),"✂ Caption too long ","")&amp;IF(AND(M353&lt;&gt;"",D353&lt;&gt;"",IFERROR(M353&gt;INDEX(Setup!$F$9:$F$18,MATCH(D353,Setup!$B$9:$B$18,0)),FALSE())),"# Too many tags","")))</f>
        <v/>
      </c>
      <c r="R353" s="16"/>
      <c r="S353" s="19"/>
      <c r="T353" s="19"/>
      <c r="U353" s="19"/>
      <c r="V353" s="19"/>
      <c r="W353" s="19"/>
      <c r="X353" s="19"/>
      <c r="Y353" s="19"/>
      <c r="Z353" s="47" t="str">
        <f aca="false">IF(COUNT(U353:X353)=0,"",SUM(U353:X353))</f>
        <v/>
      </c>
      <c r="AA353" s="48" t="str">
        <f aca="false">IF(OR(Z353="",N(T353)=0),"",Z353/T353)</f>
        <v/>
      </c>
      <c r="AB353" s="45"/>
      <c r="AC353" s="51" t="str">
        <f aca="false">IF(A353="","",A353+N(C353)+ROW()/10^7)</f>
        <v/>
      </c>
      <c r="AD353" s="51" t="str">
        <f aca="false">IF(A353="","",TEXT(A353,"0")&amp;"|"&amp;COUNTIFS('Content Log'!$A$5:$A$504,A353,'Content Log'!$AC$5:$AC$504,"&lt;="&amp;AC353))</f>
        <v/>
      </c>
      <c r="AE353" s="51" t="str">
        <f aca="false">IF(A353="","",IFERROR(INDEX(Setup!$N$9:$N$14,MATCH(O353,Setup!$M$9:$M$14,0))&amp;" ","")&amp;IF(C353="","",TEXT(C353,"h:mm AM/PM")&amp;" ")&amp;D353&amp;IF(H353="",""," · "&amp;H353))</f>
        <v/>
      </c>
      <c r="AF353" s="51" t="str">
        <f aca="false">IF(OR(A353="",AA353=""),"",IF(AND(A353&gt;=Dashboard!$G$4,A353&lt;=Dashboard!$I$4),AA353+ROW()/10^9,""))</f>
        <v/>
      </c>
      <c r="AG353" s="51" t="str">
        <f aca="false">IF(A353="","",WEEKDAY(A353,2))</f>
        <v/>
      </c>
    </row>
    <row r="354" customFormat="false" ht="15" hidden="false" customHeight="false" outlineLevel="0" collapsed="false">
      <c r="A354" s="43"/>
      <c r="B354" s="11" t="str">
        <f aca="false">IF(A354="","",TEXT(A354,"ddd"))</f>
        <v/>
      </c>
      <c r="C354" s="44"/>
      <c r="D354" s="16"/>
      <c r="E354" s="16"/>
      <c r="F354" s="16"/>
      <c r="G354" s="16"/>
      <c r="H354" s="45"/>
      <c r="I354" s="45"/>
      <c r="J354" s="11" t="str">
        <f aca="false">IF(I354="","",LEN(I354))</f>
        <v/>
      </c>
      <c r="K354" s="16"/>
      <c r="L354" s="16"/>
      <c r="M354" s="11" t="str">
        <f aca="false">IF(L354="","",IFERROR(INDEX('Hashtag Bank'!$E$5:$E$104,MATCH(L354,'Hashtag Bank'!$B$5:$B$104,0)),""))</f>
        <v/>
      </c>
      <c r="N354" s="16"/>
      <c r="O354" s="16"/>
      <c r="P354" s="16"/>
      <c r="Q354" s="46" t="str">
        <f aca="true">IF(A354&amp;H354="","",TRIM(IF(AND(A354&lt;&gt;"",A354&lt;TODAY(),O354&lt;&gt;"Published",O354&lt;&gt;"Repurpose"),"⚠ Overdue ","")&amp;IF(AND(J354&lt;&gt;"",D354&lt;&gt;"",IFERROR(J354&gt;INDEX(Setup!$E$9:$E$18,MATCH(D354,Setup!$B$9:$B$18,0)),FALSE())),"✂ Caption too long ","")&amp;IF(AND(M354&lt;&gt;"",D354&lt;&gt;"",IFERROR(M354&gt;INDEX(Setup!$F$9:$F$18,MATCH(D354,Setup!$B$9:$B$18,0)),FALSE())),"# Too many tags","")))</f>
        <v/>
      </c>
      <c r="R354" s="16"/>
      <c r="S354" s="19"/>
      <c r="T354" s="19"/>
      <c r="U354" s="19"/>
      <c r="V354" s="19"/>
      <c r="W354" s="19"/>
      <c r="X354" s="19"/>
      <c r="Y354" s="19"/>
      <c r="Z354" s="47" t="str">
        <f aca="false">IF(COUNT(U354:X354)=0,"",SUM(U354:X354))</f>
        <v/>
      </c>
      <c r="AA354" s="48" t="str">
        <f aca="false">IF(OR(Z354="",N(T354)=0),"",Z354/T354)</f>
        <v/>
      </c>
      <c r="AB354" s="45"/>
      <c r="AC354" s="51" t="str">
        <f aca="false">IF(A354="","",A354+N(C354)+ROW()/10^7)</f>
        <v/>
      </c>
      <c r="AD354" s="51" t="str">
        <f aca="false">IF(A354="","",TEXT(A354,"0")&amp;"|"&amp;COUNTIFS('Content Log'!$A$5:$A$504,A354,'Content Log'!$AC$5:$AC$504,"&lt;="&amp;AC354))</f>
        <v/>
      </c>
      <c r="AE354" s="51" t="str">
        <f aca="false">IF(A354="","",IFERROR(INDEX(Setup!$N$9:$N$14,MATCH(O354,Setup!$M$9:$M$14,0))&amp;" ","")&amp;IF(C354="","",TEXT(C354,"h:mm AM/PM")&amp;" ")&amp;D354&amp;IF(H354="",""," · "&amp;H354))</f>
        <v/>
      </c>
      <c r="AF354" s="51" t="str">
        <f aca="false">IF(OR(A354="",AA354=""),"",IF(AND(A354&gt;=Dashboard!$G$4,A354&lt;=Dashboard!$I$4),AA354+ROW()/10^9,""))</f>
        <v/>
      </c>
      <c r="AG354" s="51" t="str">
        <f aca="false">IF(A354="","",WEEKDAY(A354,2))</f>
        <v/>
      </c>
    </row>
    <row r="355" customFormat="false" ht="15" hidden="false" customHeight="false" outlineLevel="0" collapsed="false">
      <c r="A355" s="43"/>
      <c r="B355" s="11" t="str">
        <f aca="false">IF(A355="","",TEXT(A355,"ddd"))</f>
        <v/>
      </c>
      <c r="C355" s="44"/>
      <c r="D355" s="16"/>
      <c r="E355" s="16"/>
      <c r="F355" s="16"/>
      <c r="G355" s="16"/>
      <c r="H355" s="45"/>
      <c r="I355" s="45"/>
      <c r="J355" s="11" t="str">
        <f aca="false">IF(I355="","",LEN(I355))</f>
        <v/>
      </c>
      <c r="K355" s="16"/>
      <c r="L355" s="16"/>
      <c r="M355" s="11" t="str">
        <f aca="false">IF(L355="","",IFERROR(INDEX('Hashtag Bank'!$E$5:$E$104,MATCH(L355,'Hashtag Bank'!$B$5:$B$104,0)),""))</f>
        <v/>
      </c>
      <c r="N355" s="16"/>
      <c r="O355" s="16"/>
      <c r="P355" s="16"/>
      <c r="Q355" s="46" t="str">
        <f aca="true">IF(A355&amp;H355="","",TRIM(IF(AND(A355&lt;&gt;"",A355&lt;TODAY(),O355&lt;&gt;"Published",O355&lt;&gt;"Repurpose"),"⚠ Overdue ","")&amp;IF(AND(J355&lt;&gt;"",D355&lt;&gt;"",IFERROR(J355&gt;INDEX(Setup!$E$9:$E$18,MATCH(D355,Setup!$B$9:$B$18,0)),FALSE())),"✂ Caption too long ","")&amp;IF(AND(M355&lt;&gt;"",D355&lt;&gt;"",IFERROR(M355&gt;INDEX(Setup!$F$9:$F$18,MATCH(D355,Setup!$B$9:$B$18,0)),FALSE())),"# Too many tags","")))</f>
        <v/>
      </c>
      <c r="R355" s="16"/>
      <c r="S355" s="19"/>
      <c r="T355" s="19"/>
      <c r="U355" s="19"/>
      <c r="V355" s="19"/>
      <c r="W355" s="19"/>
      <c r="X355" s="19"/>
      <c r="Y355" s="19"/>
      <c r="Z355" s="47" t="str">
        <f aca="false">IF(COUNT(U355:X355)=0,"",SUM(U355:X355))</f>
        <v/>
      </c>
      <c r="AA355" s="48" t="str">
        <f aca="false">IF(OR(Z355="",N(T355)=0),"",Z355/T355)</f>
        <v/>
      </c>
      <c r="AB355" s="45"/>
      <c r="AC355" s="51" t="str">
        <f aca="false">IF(A355="","",A355+N(C355)+ROW()/10^7)</f>
        <v/>
      </c>
      <c r="AD355" s="51" t="str">
        <f aca="false">IF(A355="","",TEXT(A355,"0")&amp;"|"&amp;COUNTIFS('Content Log'!$A$5:$A$504,A355,'Content Log'!$AC$5:$AC$504,"&lt;="&amp;AC355))</f>
        <v/>
      </c>
      <c r="AE355" s="51" t="str">
        <f aca="false">IF(A355="","",IFERROR(INDEX(Setup!$N$9:$N$14,MATCH(O355,Setup!$M$9:$M$14,0))&amp;" ","")&amp;IF(C355="","",TEXT(C355,"h:mm AM/PM")&amp;" ")&amp;D355&amp;IF(H355="",""," · "&amp;H355))</f>
        <v/>
      </c>
      <c r="AF355" s="51" t="str">
        <f aca="false">IF(OR(A355="",AA355=""),"",IF(AND(A355&gt;=Dashboard!$G$4,A355&lt;=Dashboard!$I$4),AA355+ROW()/10^9,""))</f>
        <v/>
      </c>
      <c r="AG355" s="51" t="str">
        <f aca="false">IF(A355="","",WEEKDAY(A355,2))</f>
        <v/>
      </c>
    </row>
    <row r="356" customFormat="false" ht="15" hidden="false" customHeight="false" outlineLevel="0" collapsed="false">
      <c r="A356" s="43"/>
      <c r="B356" s="11" t="str">
        <f aca="false">IF(A356="","",TEXT(A356,"ddd"))</f>
        <v/>
      </c>
      <c r="C356" s="44"/>
      <c r="D356" s="16"/>
      <c r="E356" s="16"/>
      <c r="F356" s="16"/>
      <c r="G356" s="16"/>
      <c r="H356" s="45"/>
      <c r="I356" s="45"/>
      <c r="J356" s="11" t="str">
        <f aca="false">IF(I356="","",LEN(I356))</f>
        <v/>
      </c>
      <c r="K356" s="16"/>
      <c r="L356" s="16"/>
      <c r="M356" s="11" t="str">
        <f aca="false">IF(L356="","",IFERROR(INDEX('Hashtag Bank'!$E$5:$E$104,MATCH(L356,'Hashtag Bank'!$B$5:$B$104,0)),""))</f>
        <v/>
      </c>
      <c r="N356" s="16"/>
      <c r="O356" s="16"/>
      <c r="P356" s="16"/>
      <c r="Q356" s="46" t="str">
        <f aca="true">IF(A356&amp;H356="","",TRIM(IF(AND(A356&lt;&gt;"",A356&lt;TODAY(),O356&lt;&gt;"Published",O356&lt;&gt;"Repurpose"),"⚠ Overdue ","")&amp;IF(AND(J356&lt;&gt;"",D356&lt;&gt;"",IFERROR(J356&gt;INDEX(Setup!$E$9:$E$18,MATCH(D356,Setup!$B$9:$B$18,0)),FALSE())),"✂ Caption too long ","")&amp;IF(AND(M356&lt;&gt;"",D356&lt;&gt;"",IFERROR(M356&gt;INDEX(Setup!$F$9:$F$18,MATCH(D356,Setup!$B$9:$B$18,0)),FALSE())),"# Too many tags","")))</f>
        <v/>
      </c>
      <c r="R356" s="16"/>
      <c r="S356" s="19"/>
      <c r="T356" s="19"/>
      <c r="U356" s="19"/>
      <c r="V356" s="19"/>
      <c r="W356" s="19"/>
      <c r="X356" s="19"/>
      <c r="Y356" s="19"/>
      <c r="Z356" s="47" t="str">
        <f aca="false">IF(COUNT(U356:X356)=0,"",SUM(U356:X356))</f>
        <v/>
      </c>
      <c r="AA356" s="48" t="str">
        <f aca="false">IF(OR(Z356="",N(T356)=0),"",Z356/T356)</f>
        <v/>
      </c>
      <c r="AB356" s="45"/>
      <c r="AC356" s="51" t="str">
        <f aca="false">IF(A356="","",A356+N(C356)+ROW()/10^7)</f>
        <v/>
      </c>
      <c r="AD356" s="51" t="str">
        <f aca="false">IF(A356="","",TEXT(A356,"0")&amp;"|"&amp;COUNTIFS('Content Log'!$A$5:$A$504,A356,'Content Log'!$AC$5:$AC$504,"&lt;="&amp;AC356))</f>
        <v/>
      </c>
      <c r="AE356" s="51" t="str">
        <f aca="false">IF(A356="","",IFERROR(INDEX(Setup!$N$9:$N$14,MATCH(O356,Setup!$M$9:$M$14,0))&amp;" ","")&amp;IF(C356="","",TEXT(C356,"h:mm AM/PM")&amp;" ")&amp;D356&amp;IF(H356="",""," · "&amp;H356))</f>
        <v/>
      </c>
      <c r="AF356" s="51" t="str">
        <f aca="false">IF(OR(A356="",AA356=""),"",IF(AND(A356&gt;=Dashboard!$G$4,A356&lt;=Dashboard!$I$4),AA356+ROW()/10^9,""))</f>
        <v/>
      </c>
      <c r="AG356" s="51" t="str">
        <f aca="false">IF(A356="","",WEEKDAY(A356,2))</f>
        <v/>
      </c>
    </row>
    <row r="357" customFormat="false" ht="15" hidden="false" customHeight="false" outlineLevel="0" collapsed="false">
      <c r="A357" s="43"/>
      <c r="B357" s="11" t="str">
        <f aca="false">IF(A357="","",TEXT(A357,"ddd"))</f>
        <v/>
      </c>
      <c r="C357" s="44"/>
      <c r="D357" s="16"/>
      <c r="E357" s="16"/>
      <c r="F357" s="16"/>
      <c r="G357" s="16"/>
      <c r="H357" s="45"/>
      <c r="I357" s="45"/>
      <c r="J357" s="11" t="str">
        <f aca="false">IF(I357="","",LEN(I357))</f>
        <v/>
      </c>
      <c r="K357" s="16"/>
      <c r="L357" s="16"/>
      <c r="M357" s="11" t="str">
        <f aca="false">IF(L357="","",IFERROR(INDEX('Hashtag Bank'!$E$5:$E$104,MATCH(L357,'Hashtag Bank'!$B$5:$B$104,0)),""))</f>
        <v/>
      </c>
      <c r="N357" s="16"/>
      <c r="O357" s="16"/>
      <c r="P357" s="16"/>
      <c r="Q357" s="46" t="str">
        <f aca="true">IF(A357&amp;H357="","",TRIM(IF(AND(A357&lt;&gt;"",A357&lt;TODAY(),O357&lt;&gt;"Published",O357&lt;&gt;"Repurpose"),"⚠ Overdue ","")&amp;IF(AND(J357&lt;&gt;"",D357&lt;&gt;"",IFERROR(J357&gt;INDEX(Setup!$E$9:$E$18,MATCH(D357,Setup!$B$9:$B$18,0)),FALSE())),"✂ Caption too long ","")&amp;IF(AND(M357&lt;&gt;"",D357&lt;&gt;"",IFERROR(M357&gt;INDEX(Setup!$F$9:$F$18,MATCH(D357,Setup!$B$9:$B$18,0)),FALSE())),"# Too many tags","")))</f>
        <v/>
      </c>
      <c r="R357" s="16"/>
      <c r="S357" s="19"/>
      <c r="T357" s="19"/>
      <c r="U357" s="19"/>
      <c r="V357" s="19"/>
      <c r="W357" s="19"/>
      <c r="X357" s="19"/>
      <c r="Y357" s="19"/>
      <c r="Z357" s="47" t="str">
        <f aca="false">IF(COUNT(U357:X357)=0,"",SUM(U357:X357))</f>
        <v/>
      </c>
      <c r="AA357" s="48" t="str">
        <f aca="false">IF(OR(Z357="",N(T357)=0),"",Z357/T357)</f>
        <v/>
      </c>
      <c r="AB357" s="45"/>
      <c r="AC357" s="51" t="str">
        <f aca="false">IF(A357="","",A357+N(C357)+ROW()/10^7)</f>
        <v/>
      </c>
      <c r="AD357" s="51" t="str">
        <f aca="false">IF(A357="","",TEXT(A357,"0")&amp;"|"&amp;COUNTIFS('Content Log'!$A$5:$A$504,A357,'Content Log'!$AC$5:$AC$504,"&lt;="&amp;AC357))</f>
        <v/>
      </c>
      <c r="AE357" s="51" t="str">
        <f aca="false">IF(A357="","",IFERROR(INDEX(Setup!$N$9:$N$14,MATCH(O357,Setup!$M$9:$M$14,0))&amp;" ","")&amp;IF(C357="","",TEXT(C357,"h:mm AM/PM")&amp;" ")&amp;D357&amp;IF(H357="",""," · "&amp;H357))</f>
        <v/>
      </c>
      <c r="AF357" s="51" t="str">
        <f aca="false">IF(OR(A357="",AA357=""),"",IF(AND(A357&gt;=Dashboard!$G$4,A357&lt;=Dashboard!$I$4),AA357+ROW()/10^9,""))</f>
        <v/>
      </c>
      <c r="AG357" s="51" t="str">
        <f aca="false">IF(A357="","",WEEKDAY(A357,2))</f>
        <v/>
      </c>
    </row>
    <row r="358" customFormat="false" ht="15" hidden="false" customHeight="false" outlineLevel="0" collapsed="false">
      <c r="A358" s="43"/>
      <c r="B358" s="11" t="str">
        <f aca="false">IF(A358="","",TEXT(A358,"ddd"))</f>
        <v/>
      </c>
      <c r="C358" s="44"/>
      <c r="D358" s="16"/>
      <c r="E358" s="16"/>
      <c r="F358" s="16"/>
      <c r="G358" s="16"/>
      <c r="H358" s="45"/>
      <c r="I358" s="45"/>
      <c r="J358" s="11" t="str">
        <f aca="false">IF(I358="","",LEN(I358))</f>
        <v/>
      </c>
      <c r="K358" s="16"/>
      <c r="L358" s="16"/>
      <c r="M358" s="11" t="str">
        <f aca="false">IF(L358="","",IFERROR(INDEX('Hashtag Bank'!$E$5:$E$104,MATCH(L358,'Hashtag Bank'!$B$5:$B$104,0)),""))</f>
        <v/>
      </c>
      <c r="N358" s="16"/>
      <c r="O358" s="16"/>
      <c r="P358" s="16"/>
      <c r="Q358" s="46" t="str">
        <f aca="true">IF(A358&amp;H358="","",TRIM(IF(AND(A358&lt;&gt;"",A358&lt;TODAY(),O358&lt;&gt;"Published",O358&lt;&gt;"Repurpose"),"⚠ Overdue ","")&amp;IF(AND(J358&lt;&gt;"",D358&lt;&gt;"",IFERROR(J358&gt;INDEX(Setup!$E$9:$E$18,MATCH(D358,Setup!$B$9:$B$18,0)),FALSE())),"✂ Caption too long ","")&amp;IF(AND(M358&lt;&gt;"",D358&lt;&gt;"",IFERROR(M358&gt;INDEX(Setup!$F$9:$F$18,MATCH(D358,Setup!$B$9:$B$18,0)),FALSE())),"# Too many tags","")))</f>
        <v/>
      </c>
      <c r="R358" s="16"/>
      <c r="S358" s="19"/>
      <c r="T358" s="19"/>
      <c r="U358" s="19"/>
      <c r="V358" s="19"/>
      <c r="W358" s="19"/>
      <c r="X358" s="19"/>
      <c r="Y358" s="19"/>
      <c r="Z358" s="47" t="str">
        <f aca="false">IF(COUNT(U358:X358)=0,"",SUM(U358:X358))</f>
        <v/>
      </c>
      <c r="AA358" s="48" t="str">
        <f aca="false">IF(OR(Z358="",N(T358)=0),"",Z358/T358)</f>
        <v/>
      </c>
      <c r="AB358" s="45"/>
      <c r="AC358" s="51" t="str">
        <f aca="false">IF(A358="","",A358+N(C358)+ROW()/10^7)</f>
        <v/>
      </c>
      <c r="AD358" s="51" t="str">
        <f aca="false">IF(A358="","",TEXT(A358,"0")&amp;"|"&amp;COUNTIFS('Content Log'!$A$5:$A$504,A358,'Content Log'!$AC$5:$AC$504,"&lt;="&amp;AC358))</f>
        <v/>
      </c>
      <c r="AE358" s="51" t="str">
        <f aca="false">IF(A358="","",IFERROR(INDEX(Setup!$N$9:$N$14,MATCH(O358,Setup!$M$9:$M$14,0))&amp;" ","")&amp;IF(C358="","",TEXT(C358,"h:mm AM/PM")&amp;" ")&amp;D358&amp;IF(H358="",""," · "&amp;H358))</f>
        <v/>
      </c>
      <c r="AF358" s="51" t="str">
        <f aca="false">IF(OR(A358="",AA358=""),"",IF(AND(A358&gt;=Dashboard!$G$4,A358&lt;=Dashboard!$I$4),AA358+ROW()/10^9,""))</f>
        <v/>
      </c>
      <c r="AG358" s="51" t="str">
        <f aca="false">IF(A358="","",WEEKDAY(A358,2))</f>
        <v/>
      </c>
    </row>
    <row r="359" customFormat="false" ht="15" hidden="false" customHeight="false" outlineLevel="0" collapsed="false">
      <c r="A359" s="43"/>
      <c r="B359" s="11" t="str">
        <f aca="false">IF(A359="","",TEXT(A359,"ddd"))</f>
        <v/>
      </c>
      <c r="C359" s="44"/>
      <c r="D359" s="16"/>
      <c r="E359" s="16"/>
      <c r="F359" s="16"/>
      <c r="G359" s="16"/>
      <c r="H359" s="45"/>
      <c r="I359" s="45"/>
      <c r="J359" s="11" t="str">
        <f aca="false">IF(I359="","",LEN(I359))</f>
        <v/>
      </c>
      <c r="K359" s="16"/>
      <c r="L359" s="16"/>
      <c r="M359" s="11" t="str">
        <f aca="false">IF(L359="","",IFERROR(INDEX('Hashtag Bank'!$E$5:$E$104,MATCH(L359,'Hashtag Bank'!$B$5:$B$104,0)),""))</f>
        <v/>
      </c>
      <c r="N359" s="16"/>
      <c r="O359" s="16"/>
      <c r="P359" s="16"/>
      <c r="Q359" s="46" t="str">
        <f aca="true">IF(A359&amp;H359="","",TRIM(IF(AND(A359&lt;&gt;"",A359&lt;TODAY(),O359&lt;&gt;"Published",O359&lt;&gt;"Repurpose"),"⚠ Overdue ","")&amp;IF(AND(J359&lt;&gt;"",D359&lt;&gt;"",IFERROR(J359&gt;INDEX(Setup!$E$9:$E$18,MATCH(D359,Setup!$B$9:$B$18,0)),FALSE())),"✂ Caption too long ","")&amp;IF(AND(M359&lt;&gt;"",D359&lt;&gt;"",IFERROR(M359&gt;INDEX(Setup!$F$9:$F$18,MATCH(D359,Setup!$B$9:$B$18,0)),FALSE())),"# Too many tags","")))</f>
        <v/>
      </c>
      <c r="R359" s="16"/>
      <c r="S359" s="19"/>
      <c r="T359" s="19"/>
      <c r="U359" s="19"/>
      <c r="V359" s="19"/>
      <c r="W359" s="19"/>
      <c r="X359" s="19"/>
      <c r="Y359" s="19"/>
      <c r="Z359" s="47" t="str">
        <f aca="false">IF(COUNT(U359:X359)=0,"",SUM(U359:X359))</f>
        <v/>
      </c>
      <c r="AA359" s="48" t="str">
        <f aca="false">IF(OR(Z359="",N(T359)=0),"",Z359/T359)</f>
        <v/>
      </c>
      <c r="AB359" s="45"/>
      <c r="AC359" s="51" t="str">
        <f aca="false">IF(A359="","",A359+N(C359)+ROW()/10^7)</f>
        <v/>
      </c>
      <c r="AD359" s="51" t="str">
        <f aca="false">IF(A359="","",TEXT(A359,"0")&amp;"|"&amp;COUNTIFS('Content Log'!$A$5:$A$504,A359,'Content Log'!$AC$5:$AC$504,"&lt;="&amp;AC359))</f>
        <v/>
      </c>
      <c r="AE359" s="51" t="str">
        <f aca="false">IF(A359="","",IFERROR(INDEX(Setup!$N$9:$N$14,MATCH(O359,Setup!$M$9:$M$14,0))&amp;" ","")&amp;IF(C359="","",TEXT(C359,"h:mm AM/PM")&amp;" ")&amp;D359&amp;IF(H359="",""," · "&amp;H359))</f>
        <v/>
      </c>
      <c r="AF359" s="51" t="str">
        <f aca="false">IF(OR(A359="",AA359=""),"",IF(AND(A359&gt;=Dashboard!$G$4,A359&lt;=Dashboard!$I$4),AA359+ROW()/10^9,""))</f>
        <v/>
      </c>
      <c r="AG359" s="51" t="str">
        <f aca="false">IF(A359="","",WEEKDAY(A359,2))</f>
        <v/>
      </c>
    </row>
    <row r="360" customFormat="false" ht="15" hidden="false" customHeight="false" outlineLevel="0" collapsed="false">
      <c r="A360" s="43"/>
      <c r="B360" s="11" t="str">
        <f aca="false">IF(A360="","",TEXT(A360,"ddd"))</f>
        <v/>
      </c>
      <c r="C360" s="44"/>
      <c r="D360" s="16"/>
      <c r="E360" s="16"/>
      <c r="F360" s="16"/>
      <c r="G360" s="16"/>
      <c r="H360" s="45"/>
      <c r="I360" s="45"/>
      <c r="J360" s="11" t="str">
        <f aca="false">IF(I360="","",LEN(I360))</f>
        <v/>
      </c>
      <c r="K360" s="16"/>
      <c r="L360" s="16"/>
      <c r="M360" s="11" t="str">
        <f aca="false">IF(L360="","",IFERROR(INDEX('Hashtag Bank'!$E$5:$E$104,MATCH(L360,'Hashtag Bank'!$B$5:$B$104,0)),""))</f>
        <v/>
      </c>
      <c r="N360" s="16"/>
      <c r="O360" s="16"/>
      <c r="P360" s="16"/>
      <c r="Q360" s="46" t="str">
        <f aca="true">IF(A360&amp;H360="","",TRIM(IF(AND(A360&lt;&gt;"",A360&lt;TODAY(),O360&lt;&gt;"Published",O360&lt;&gt;"Repurpose"),"⚠ Overdue ","")&amp;IF(AND(J360&lt;&gt;"",D360&lt;&gt;"",IFERROR(J360&gt;INDEX(Setup!$E$9:$E$18,MATCH(D360,Setup!$B$9:$B$18,0)),FALSE())),"✂ Caption too long ","")&amp;IF(AND(M360&lt;&gt;"",D360&lt;&gt;"",IFERROR(M360&gt;INDEX(Setup!$F$9:$F$18,MATCH(D360,Setup!$B$9:$B$18,0)),FALSE())),"# Too many tags","")))</f>
        <v/>
      </c>
      <c r="R360" s="16"/>
      <c r="S360" s="19"/>
      <c r="T360" s="19"/>
      <c r="U360" s="19"/>
      <c r="V360" s="19"/>
      <c r="W360" s="19"/>
      <c r="X360" s="19"/>
      <c r="Y360" s="19"/>
      <c r="Z360" s="47" t="str">
        <f aca="false">IF(COUNT(U360:X360)=0,"",SUM(U360:X360))</f>
        <v/>
      </c>
      <c r="AA360" s="48" t="str">
        <f aca="false">IF(OR(Z360="",N(T360)=0),"",Z360/T360)</f>
        <v/>
      </c>
      <c r="AB360" s="45"/>
      <c r="AC360" s="51" t="str">
        <f aca="false">IF(A360="","",A360+N(C360)+ROW()/10^7)</f>
        <v/>
      </c>
      <c r="AD360" s="51" t="str">
        <f aca="false">IF(A360="","",TEXT(A360,"0")&amp;"|"&amp;COUNTIFS('Content Log'!$A$5:$A$504,A360,'Content Log'!$AC$5:$AC$504,"&lt;="&amp;AC360))</f>
        <v/>
      </c>
      <c r="AE360" s="51" t="str">
        <f aca="false">IF(A360="","",IFERROR(INDEX(Setup!$N$9:$N$14,MATCH(O360,Setup!$M$9:$M$14,0))&amp;" ","")&amp;IF(C360="","",TEXT(C360,"h:mm AM/PM")&amp;" ")&amp;D360&amp;IF(H360="",""," · "&amp;H360))</f>
        <v/>
      </c>
      <c r="AF360" s="51" t="str">
        <f aca="false">IF(OR(A360="",AA360=""),"",IF(AND(A360&gt;=Dashboard!$G$4,A360&lt;=Dashboard!$I$4),AA360+ROW()/10^9,""))</f>
        <v/>
      </c>
      <c r="AG360" s="51" t="str">
        <f aca="false">IF(A360="","",WEEKDAY(A360,2))</f>
        <v/>
      </c>
    </row>
    <row r="361" customFormat="false" ht="15" hidden="false" customHeight="false" outlineLevel="0" collapsed="false">
      <c r="A361" s="43"/>
      <c r="B361" s="11" t="str">
        <f aca="false">IF(A361="","",TEXT(A361,"ddd"))</f>
        <v/>
      </c>
      <c r="C361" s="44"/>
      <c r="D361" s="16"/>
      <c r="E361" s="16"/>
      <c r="F361" s="16"/>
      <c r="G361" s="16"/>
      <c r="H361" s="45"/>
      <c r="I361" s="45"/>
      <c r="J361" s="11" t="str">
        <f aca="false">IF(I361="","",LEN(I361))</f>
        <v/>
      </c>
      <c r="K361" s="16"/>
      <c r="L361" s="16"/>
      <c r="M361" s="11" t="str">
        <f aca="false">IF(L361="","",IFERROR(INDEX('Hashtag Bank'!$E$5:$E$104,MATCH(L361,'Hashtag Bank'!$B$5:$B$104,0)),""))</f>
        <v/>
      </c>
      <c r="N361" s="16"/>
      <c r="O361" s="16"/>
      <c r="P361" s="16"/>
      <c r="Q361" s="46" t="str">
        <f aca="true">IF(A361&amp;H361="","",TRIM(IF(AND(A361&lt;&gt;"",A361&lt;TODAY(),O361&lt;&gt;"Published",O361&lt;&gt;"Repurpose"),"⚠ Overdue ","")&amp;IF(AND(J361&lt;&gt;"",D361&lt;&gt;"",IFERROR(J361&gt;INDEX(Setup!$E$9:$E$18,MATCH(D361,Setup!$B$9:$B$18,0)),FALSE())),"✂ Caption too long ","")&amp;IF(AND(M361&lt;&gt;"",D361&lt;&gt;"",IFERROR(M361&gt;INDEX(Setup!$F$9:$F$18,MATCH(D361,Setup!$B$9:$B$18,0)),FALSE())),"# Too many tags","")))</f>
        <v/>
      </c>
      <c r="R361" s="16"/>
      <c r="S361" s="19"/>
      <c r="T361" s="19"/>
      <c r="U361" s="19"/>
      <c r="V361" s="19"/>
      <c r="W361" s="19"/>
      <c r="X361" s="19"/>
      <c r="Y361" s="19"/>
      <c r="Z361" s="47" t="str">
        <f aca="false">IF(COUNT(U361:X361)=0,"",SUM(U361:X361))</f>
        <v/>
      </c>
      <c r="AA361" s="48" t="str">
        <f aca="false">IF(OR(Z361="",N(T361)=0),"",Z361/T361)</f>
        <v/>
      </c>
      <c r="AB361" s="45"/>
      <c r="AC361" s="51" t="str">
        <f aca="false">IF(A361="","",A361+N(C361)+ROW()/10^7)</f>
        <v/>
      </c>
      <c r="AD361" s="51" t="str">
        <f aca="false">IF(A361="","",TEXT(A361,"0")&amp;"|"&amp;COUNTIFS('Content Log'!$A$5:$A$504,A361,'Content Log'!$AC$5:$AC$504,"&lt;="&amp;AC361))</f>
        <v/>
      </c>
      <c r="AE361" s="51" t="str">
        <f aca="false">IF(A361="","",IFERROR(INDEX(Setup!$N$9:$N$14,MATCH(O361,Setup!$M$9:$M$14,0))&amp;" ","")&amp;IF(C361="","",TEXT(C361,"h:mm AM/PM")&amp;" ")&amp;D361&amp;IF(H361="",""," · "&amp;H361))</f>
        <v/>
      </c>
      <c r="AF361" s="51" t="str">
        <f aca="false">IF(OR(A361="",AA361=""),"",IF(AND(A361&gt;=Dashboard!$G$4,A361&lt;=Dashboard!$I$4),AA361+ROW()/10^9,""))</f>
        <v/>
      </c>
      <c r="AG361" s="51" t="str">
        <f aca="false">IF(A361="","",WEEKDAY(A361,2))</f>
        <v/>
      </c>
    </row>
    <row r="362" customFormat="false" ht="15" hidden="false" customHeight="false" outlineLevel="0" collapsed="false">
      <c r="A362" s="43"/>
      <c r="B362" s="11" t="str">
        <f aca="false">IF(A362="","",TEXT(A362,"ddd"))</f>
        <v/>
      </c>
      <c r="C362" s="44"/>
      <c r="D362" s="16"/>
      <c r="E362" s="16"/>
      <c r="F362" s="16"/>
      <c r="G362" s="16"/>
      <c r="H362" s="45"/>
      <c r="I362" s="45"/>
      <c r="J362" s="11" t="str">
        <f aca="false">IF(I362="","",LEN(I362))</f>
        <v/>
      </c>
      <c r="K362" s="16"/>
      <c r="L362" s="16"/>
      <c r="M362" s="11" t="str">
        <f aca="false">IF(L362="","",IFERROR(INDEX('Hashtag Bank'!$E$5:$E$104,MATCH(L362,'Hashtag Bank'!$B$5:$B$104,0)),""))</f>
        <v/>
      </c>
      <c r="N362" s="16"/>
      <c r="O362" s="16"/>
      <c r="P362" s="16"/>
      <c r="Q362" s="46" t="str">
        <f aca="true">IF(A362&amp;H362="","",TRIM(IF(AND(A362&lt;&gt;"",A362&lt;TODAY(),O362&lt;&gt;"Published",O362&lt;&gt;"Repurpose"),"⚠ Overdue ","")&amp;IF(AND(J362&lt;&gt;"",D362&lt;&gt;"",IFERROR(J362&gt;INDEX(Setup!$E$9:$E$18,MATCH(D362,Setup!$B$9:$B$18,0)),FALSE())),"✂ Caption too long ","")&amp;IF(AND(M362&lt;&gt;"",D362&lt;&gt;"",IFERROR(M362&gt;INDEX(Setup!$F$9:$F$18,MATCH(D362,Setup!$B$9:$B$18,0)),FALSE())),"# Too many tags","")))</f>
        <v/>
      </c>
      <c r="R362" s="16"/>
      <c r="S362" s="19"/>
      <c r="T362" s="19"/>
      <c r="U362" s="19"/>
      <c r="V362" s="19"/>
      <c r="W362" s="19"/>
      <c r="X362" s="19"/>
      <c r="Y362" s="19"/>
      <c r="Z362" s="47" t="str">
        <f aca="false">IF(COUNT(U362:X362)=0,"",SUM(U362:X362))</f>
        <v/>
      </c>
      <c r="AA362" s="48" t="str">
        <f aca="false">IF(OR(Z362="",N(T362)=0),"",Z362/T362)</f>
        <v/>
      </c>
      <c r="AB362" s="45"/>
      <c r="AC362" s="51" t="str">
        <f aca="false">IF(A362="","",A362+N(C362)+ROW()/10^7)</f>
        <v/>
      </c>
      <c r="AD362" s="51" t="str">
        <f aca="false">IF(A362="","",TEXT(A362,"0")&amp;"|"&amp;COUNTIFS('Content Log'!$A$5:$A$504,A362,'Content Log'!$AC$5:$AC$504,"&lt;="&amp;AC362))</f>
        <v/>
      </c>
      <c r="AE362" s="51" t="str">
        <f aca="false">IF(A362="","",IFERROR(INDEX(Setup!$N$9:$N$14,MATCH(O362,Setup!$M$9:$M$14,0))&amp;" ","")&amp;IF(C362="","",TEXT(C362,"h:mm AM/PM")&amp;" ")&amp;D362&amp;IF(H362="",""," · "&amp;H362))</f>
        <v/>
      </c>
      <c r="AF362" s="51" t="str">
        <f aca="false">IF(OR(A362="",AA362=""),"",IF(AND(A362&gt;=Dashboard!$G$4,A362&lt;=Dashboard!$I$4),AA362+ROW()/10^9,""))</f>
        <v/>
      </c>
      <c r="AG362" s="51" t="str">
        <f aca="false">IF(A362="","",WEEKDAY(A362,2))</f>
        <v/>
      </c>
    </row>
    <row r="363" customFormat="false" ht="15" hidden="false" customHeight="false" outlineLevel="0" collapsed="false">
      <c r="A363" s="43"/>
      <c r="B363" s="11" t="str">
        <f aca="false">IF(A363="","",TEXT(A363,"ddd"))</f>
        <v/>
      </c>
      <c r="C363" s="44"/>
      <c r="D363" s="16"/>
      <c r="E363" s="16"/>
      <c r="F363" s="16"/>
      <c r="G363" s="16"/>
      <c r="H363" s="45"/>
      <c r="I363" s="45"/>
      <c r="J363" s="11" t="str">
        <f aca="false">IF(I363="","",LEN(I363))</f>
        <v/>
      </c>
      <c r="K363" s="16"/>
      <c r="L363" s="16"/>
      <c r="M363" s="11" t="str">
        <f aca="false">IF(L363="","",IFERROR(INDEX('Hashtag Bank'!$E$5:$E$104,MATCH(L363,'Hashtag Bank'!$B$5:$B$104,0)),""))</f>
        <v/>
      </c>
      <c r="N363" s="16"/>
      <c r="O363" s="16"/>
      <c r="P363" s="16"/>
      <c r="Q363" s="46" t="str">
        <f aca="true">IF(A363&amp;H363="","",TRIM(IF(AND(A363&lt;&gt;"",A363&lt;TODAY(),O363&lt;&gt;"Published",O363&lt;&gt;"Repurpose"),"⚠ Overdue ","")&amp;IF(AND(J363&lt;&gt;"",D363&lt;&gt;"",IFERROR(J363&gt;INDEX(Setup!$E$9:$E$18,MATCH(D363,Setup!$B$9:$B$18,0)),FALSE())),"✂ Caption too long ","")&amp;IF(AND(M363&lt;&gt;"",D363&lt;&gt;"",IFERROR(M363&gt;INDEX(Setup!$F$9:$F$18,MATCH(D363,Setup!$B$9:$B$18,0)),FALSE())),"# Too many tags","")))</f>
        <v/>
      </c>
      <c r="R363" s="16"/>
      <c r="S363" s="19"/>
      <c r="T363" s="19"/>
      <c r="U363" s="19"/>
      <c r="V363" s="19"/>
      <c r="W363" s="19"/>
      <c r="X363" s="19"/>
      <c r="Y363" s="19"/>
      <c r="Z363" s="47" t="str">
        <f aca="false">IF(COUNT(U363:X363)=0,"",SUM(U363:X363))</f>
        <v/>
      </c>
      <c r="AA363" s="48" t="str">
        <f aca="false">IF(OR(Z363="",N(T363)=0),"",Z363/T363)</f>
        <v/>
      </c>
      <c r="AB363" s="45"/>
      <c r="AC363" s="51" t="str">
        <f aca="false">IF(A363="","",A363+N(C363)+ROW()/10^7)</f>
        <v/>
      </c>
      <c r="AD363" s="51" t="str">
        <f aca="false">IF(A363="","",TEXT(A363,"0")&amp;"|"&amp;COUNTIFS('Content Log'!$A$5:$A$504,A363,'Content Log'!$AC$5:$AC$504,"&lt;="&amp;AC363))</f>
        <v/>
      </c>
      <c r="AE363" s="51" t="str">
        <f aca="false">IF(A363="","",IFERROR(INDEX(Setup!$N$9:$N$14,MATCH(O363,Setup!$M$9:$M$14,0))&amp;" ","")&amp;IF(C363="","",TEXT(C363,"h:mm AM/PM")&amp;" ")&amp;D363&amp;IF(H363="",""," · "&amp;H363))</f>
        <v/>
      </c>
      <c r="AF363" s="51" t="str">
        <f aca="false">IF(OR(A363="",AA363=""),"",IF(AND(A363&gt;=Dashboard!$G$4,A363&lt;=Dashboard!$I$4),AA363+ROW()/10^9,""))</f>
        <v/>
      </c>
      <c r="AG363" s="51" t="str">
        <f aca="false">IF(A363="","",WEEKDAY(A363,2))</f>
        <v/>
      </c>
    </row>
    <row r="364" customFormat="false" ht="15" hidden="false" customHeight="false" outlineLevel="0" collapsed="false">
      <c r="A364" s="43"/>
      <c r="B364" s="11" t="str">
        <f aca="false">IF(A364="","",TEXT(A364,"ddd"))</f>
        <v/>
      </c>
      <c r="C364" s="44"/>
      <c r="D364" s="16"/>
      <c r="E364" s="16"/>
      <c r="F364" s="16"/>
      <c r="G364" s="16"/>
      <c r="H364" s="45"/>
      <c r="I364" s="45"/>
      <c r="J364" s="11" t="str">
        <f aca="false">IF(I364="","",LEN(I364))</f>
        <v/>
      </c>
      <c r="K364" s="16"/>
      <c r="L364" s="16"/>
      <c r="M364" s="11" t="str">
        <f aca="false">IF(L364="","",IFERROR(INDEX('Hashtag Bank'!$E$5:$E$104,MATCH(L364,'Hashtag Bank'!$B$5:$B$104,0)),""))</f>
        <v/>
      </c>
      <c r="N364" s="16"/>
      <c r="O364" s="16"/>
      <c r="P364" s="16"/>
      <c r="Q364" s="46" t="str">
        <f aca="true">IF(A364&amp;H364="","",TRIM(IF(AND(A364&lt;&gt;"",A364&lt;TODAY(),O364&lt;&gt;"Published",O364&lt;&gt;"Repurpose"),"⚠ Overdue ","")&amp;IF(AND(J364&lt;&gt;"",D364&lt;&gt;"",IFERROR(J364&gt;INDEX(Setup!$E$9:$E$18,MATCH(D364,Setup!$B$9:$B$18,0)),FALSE())),"✂ Caption too long ","")&amp;IF(AND(M364&lt;&gt;"",D364&lt;&gt;"",IFERROR(M364&gt;INDEX(Setup!$F$9:$F$18,MATCH(D364,Setup!$B$9:$B$18,0)),FALSE())),"# Too many tags","")))</f>
        <v/>
      </c>
      <c r="R364" s="16"/>
      <c r="S364" s="19"/>
      <c r="T364" s="19"/>
      <c r="U364" s="19"/>
      <c r="V364" s="19"/>
      <c r="W364" s="19"/>
      <c r="X364" s="19"/>
      <c r="Y364" s="19"/>
      <c r="Z364" s="47" t="str">
        <f aca="false">IF(COUNT(U364:X364)=0,"",SUM(U364:X364))</f>
        <v/>
      </c>
      <c r="AA364" s="48" t="str">
        <f aca="false">IF(OR(Z364="",N(T364)=0),"",Z364/T364)</f>
        <v/>
      </c>
      <c r="AB364" s="45"/>
      <c r="AC364" s="51" t="str">
        <f aca="false">IF(A364="","",A364+N(C364)+ROW()/10^7)</f>
        <v/>
      </c>
      <c r="AD364" s="51" t="str">
        <f aca="false">IF(A364="","",TEXT(A364,"0")&amp;"|"&amp;COUNTIFS('Content Log'!$A$5:$A$504,A364,'Content Log'!$AC$5:$AC$504,"&lt;="&amp;AC364))</f>
        <v/>
      </c>
      <c r="AE364" s="51" t="str">
        <f aca="false">IF(A364="","",IFERROR(INDEX(Setup!$N$9:$N$14,MATCH(O364,Setup!$M$9:$M$14,0))&amp;" ","")&amp;IF(C364="","",TEXT(C364,"h:mm AM/PM")&amp;" ")&amp;D364&amp;IF(H364="",""," · "&amp;H364))</f>
        <v/>
      </c>
      <c r="AF364" s="51" t="str">
        <f aca="false">IF(OR(A364="",AA364=""),"",IF(AND(A364&gt;=Dashboard!$G$4,A364&lt;=Dashboard!$I$4),AA364+ROW()/10^9,""))</f>
        <v/>
      </c>
      <c r="AG364" s="51" t="str">
        <f aca="false">IF(A364="","",WEEKDAY(A364,2))</f>
        <v/>
      </c>
    </row>
    <row r="365" customFormat="false" ht="15" hidden="false" customHeight="false" outlineLevel="0" collapsed="false">
      <c r="A365" s="43"/>
      <c r="B365" s="11" t="str">
        <f aca="false">IF(A365="","",TEXT(A365,"ddd"))</f>
        <v/>
      </c>
      <c r="C365" s="44"/>
      <c r="D365" s="16"/>
      <c r="E365" s="16"/>
      <c r="F365" s="16"/>
      <c r="G365" s="16"/>
      <c r="H365" s="45"/>
      <c r="I365" s="45"/>
      <c r="J365" s="11" t="str">
        <f aca="false">IF(I365="","",LEN(I365))</f>
        <v/>
      </c>
      <c r="K365" s="16"/>
      <c r="L365" s="16"/>
      <c r="M365" s="11" t="str">
        <f aca="false">IF(L365="","",IFERROR(INDEX('Hashtag Bank'!$E$5:$E$104,MATCH(L365,'Hashtag Bank'!$B$5:$B$104,0)),""))</f>
        <v/>
      </c>
      <c r="N365" s="16"/>
      <c r="O365" s="16"/>
      <c r="P365" s="16"/>
      <c r="Q365" s="46" t="str">
        <f aca="true">IF(A365&amp;H365="","",TRIM(IF(AND(A365&lt;&gt;"",A365&lt;TODAY(),O365&lt;&gt;"Published",O365&lt;&gt;"Repurpose"),"⚠ Overdue ","")&amp;IF(AND(J365&lt;&gt;"",D365&lt;&gt;"",IFERROR(J365&gt;INDEX(Setup!$E$9:$E$18,MATCH(D365,Setup!$B$9:$B$18,0)),FALSE())),"✂ Caption too long ","")&amp;IF(AND(M365&lt;&gt;"",D365&lt;&gt;"",IFERROR(M365&gt;INDEX(Setup!$F$9:$F$18,MATCH(D365,Setup!$B$9:$B$18,0)),FALSE())),"# Too many tags","")))</f>
        <v/>
      </c>
      <c r="R365" s="16"/>
      <c r="S365" s="19"/>
      <c r="T365" s="19"/>
      <c r="U365" s="19"/>
      <c r="V365" s="19"/>
      <c r="W365" s="19"/>
      <c r="X365" s="19"/>
      <c r="Y365" s="19"/>
      <c r="Z365" s="47" t="str">
        <f aca="false">IF(COUNT(U365:X365)=0,"",SUM(U365:X365))</f>
        <v/>
      </c>
      <c r="AA365" s="48" t="str">
        <f aca="false">IF(OR(Z365="",N(T365)=0),"",Z365/T365)</f>
        <v/>
      </c>
      <c r="AB365" s="45"/>
      <c r="AC365" s="51" t="str">
        <f aca="false">IF(A365="","",A365+N(C365)+ROW()/10^7)</f>
        <v/>
      </c>
      <c r="AD365" s="51" t="str">
        <f aca="false">IF(A365="","",TEXT(A365,"0")&amp;"|"&amp;COUNTIFS('Content Log'!$A$5:$A$504,A365,'Content Log'!$AC$5:$AC$504,"&lt;="&amp;AC365))</f>
        <v/>
      </c>
      <c r="AE365" s="51" t="str">
        <f aca="false">IF(A365="","",IFERROR(INDEX(Setup!$N$9:$N$14,MATCH(O365,Setup!$M$9:$M$14,0))&amp;" ","")&amp;IF(C365="","",TEXT(C365,"h:mm AM/PM")&amp;" ")&amp;D365&amp;IF(H365="",""," · "&amp;H365))</f>
        <v/>
      </c>
      <c r="AF365" s="51" t="str">
        <f aca="false">IF(OR(A365="",AA365=""),"",IF(AND(A365&gt;=Dashboard!$G$4,A365&lt;=Dashboard!$I$4),AA365+ROW()/10^9,""))</f>
        <v/>
      </c>
      <c r="AG365" s="51" t="str">
        <f aca="false">IF(A365="","",WEEKDAY(A365,2))</f>
        <v/>
      </c>
    </row>
    <row r="366" customFormat="false" ht="15" hidden="false" customHeight="false" outlineLevel="0" collapsed="false">
      <c r="A366" s="43"/>
      <c r="B366" s="11" t="str">
        <f aca="false">IF(A366="","",TEXT(A366,"ddd"))</f>
        <v/>
      </c>
      <c r="C366" s="44"/>
      <c r="D366" s="16"/>
      <c r="E366" s="16"/>
      <c r="F366" s="16"/>
      <c r="G366" s="16"/>
      <c r="H366" s="45"/>
      <c r="I366" s="45"/>
      <c r="J366" s="11" t="str">
        <f aca="false">IF(I366="","",LEN(I366))</f>
        <v/>
      </c>
      <c r="K366" s="16"/>
      <c r="L366" s="16"/>
      <c r="M366" s="11" t="str">
        <f aca="false">IF(L366="","",IFERROR(INDEX('Hashtag Bank'!$E$5:$E$104,MATCH(L366,'Hashtag Bank'!$B$5:$B$104,0)),""))</f>
        <v/>
      </c>
      <c r="N366" s="16"/>
      <c r="O366" s="16"/>
      <c r="P366" s="16"/>
      <c r="Q366" s="46" t="str">
        <f aca="true">IF(A366&amp;H366="","",TRIM(IF(AND(A366&lt;&gt;"",A366&lt;TODAY(),O366&lt;&gt;"Published",O366&lt;&gt;"Repurpose"),"⚠ Overdue ","")&amp;IF(AND(J366&lt;&gt;"",D366&lt;&gt;"",IFERROR(J366&gt;INDEX(Setup!$E$9:$E$18,MATCH(D366,Setup!$B$9:$B$18,0)),FALSE())),"✂ Caption too long ","")&amp;IF(AND(M366&lt;&gt;"",D366&lt;&gt;"",IFERROR(M366&gt;INDEX(Setup!$F$9:$F$18,MATCH(D366,Setup!$B$9:$B$18,0)),FALSE())),"# Too many tags","")))</f>
        <v/>
      </c>
      <c r="R366" s="16"/>
      <c r="S366" s="19"/>
      <c r="T366" s="19"/>
      <c r="U366" s="19"/>
      <c r="V366" s="19"/>
      <c r="W366" s="19"/>
      <c r="X366" s="19"/>
      <c r="Y366" s="19"/>
      <c r="Z366" s="47" t="str">
        <f aca="false">IF(COUNT(U366:X366)=0,"",SUM(U366:X366))</f>
        <v/>
      </c>
      <c r="AA366" s="48" t="str">
        <f aca="false">IF(OR(Z366="",N(T366)=0),"",Z366/T366)</f>
        <v/>
      </c>
      <c r="AB366" s="45"/>
      <c r="AC366" s="51" t="str">
        <f aca="false">IF(A366="","",A366+N(C366)+ROW()/10^7)</f>
        <v/>
      </c>
      <c r="AD366" s="51" t="str">
        <f aca="false">IF(A366="","",TEXT(A366,"0")&amp;"|"&amp;COUNTIFS('Content Log'!$A$5:$A$504,A366,'Content Log'!$AC$5:$AC$504,"&lt;="&amp;AC366))</f>
        <v/>
      </c>
      <c r="AE366" s="51" t="str">
        <f aca="false">IF(A366="","",IFERROR(INDEX(Setup!$N$9:$N$14,MATCH(O366,Setup!$M$9:$M$14,0))&amp;" ","")&amp;IF(C366="","",TEXT(C366,"h:mm AM/PM")&amp;" ")&amp;D366&amp;IF(H366="",""," · "&amp;H366))</f>
        <v/>
      </c>
      <c r="AF366" s="51" t="str">
        <f aca="false">IF(OR(A366="",AA366=""),"",IF(AND(A366&gt;=Dashboard!$G$4,A366&lt;=Dashboard!$I$4),AA366+ROW()/10^9,""))</f>
        <v/>
      </c>
      <c r="AG366" s="51" t="str">
        <f aca="false">IF(A366="","",WEEKDAY(A366,2))</f>
        <v/>
      </c>
    </row>
    <row r="367" customFormat="false" ht="15" hidden="false" customHeight="false" outlineLevel="0" collapsed="false">
      <c r="A367" s="43"/>
      <c r="B367" s="11" t="str">
        <f aca="false">IF(A367="","",TEXT(A367,"ddd"))</f>
        <v/>
      </c>
      <c r="C367" s="44"/>
      <c r="D367" s="16"/>
      <c r="E367" s="16"/>
      <c r="F367" s="16"/>
      <c r="G367" s="16"/>
      <c r="H367" s="45"/>
      <c r="I367" s="45"/>
      <c r="J367" s="11" t="str">
        <f aca="false">IF(I367="","",LEN(I367))</f>
        <v/>
      </c>
      <c r="K367" s="16"/>
      <c r="L367" s="16"/>
      <c r="M367" s="11" t="str">
        <f aca="false">IF(L367="","",IFERROR(INDEX('Hashtag Bank'!$E$5:$E$104,MATCH(L367,'Hashtag Bank'!$B$5:$B$104,0)),""))</f>
        <v/>
      </c>
      <c r="N367" s="16"/>
      <c r="O367" s="16"/>
      <c r="P367" s="16"/>
      <c r="Q367" s="46" t="str">
        <f aca="true">IF(A367&amp;H367="","",TRIM(IF(AND(A367&lt;&gt;"",A367&lt;TODAY(),O367&lt;&gt;"Published",O367&lt;&gt;"Repurpose"),"⚠ Overdue ","")&amp;IF(AND(J367&lt;&gt;"",D367&lt;&gt;"",IFERROR(J367&gt;INDEX(Setup!$E$9:$E$18,MATCH(D367,Setup!$B$9:$B$18,0)),FALSE())),"✂ Caption too long ","")&amp;IF(AND(M367&lt;&gt;"",D367&lt;&gt;"",IFERROR(M367&gt;INDEX(Setup!$F$9:$F$18,MATCH(D367,Setup!$B$9:$B$18,0)),FALSE())),"# Too many tags","")))</f>
        <v/>
      </c>
      <c r="R367" s="16"/>
      <c r="S367" s="19"/>
      <c r="T367" s="19"/>
      <c r="U367" s="19"/>
      <c r="V367" s="19"/>
      <c r="W367" s="19"/>
      <c r="X367" s="19"/>
      <c r="Y367" s="19"/>
      <c r="Z367" s="47" t="str">
        <f aca="false">IF(COUNT(U367:X367)=0,"",SUM(U367:X367))</f>
        <v/>
      </c>
      <c r="AA367" s="48" t="str">
        <f aca="false">IF(OR(Z367="",N(T367)=0),"",Z367/T367)</f>
        <v/>
      </c>
      <c r="AB367" s="45"/>
      <c r="AC367" s="51" t="str">
        <f aca="false">IF(A367="","",A367+N(C367)+ROW()/10^7)</f>
        <v/>
      </c>
      <c r="AD367" s="51" t="str">
        <f aca="false">IF(A367="","",TEXT(A367,"0")&amp;"|"&amp;COUNTIFS('Content Log'!$A$5:$A$504,A367,'Content Log'!$AC$5:$AC$504,"&lt;="&amp;AC367))</f>
        <v/>
      </c>
      <c r="AE367" s="51" t="str">
        <f aca="false">IF(A367="","",IFERROR(INDEX(Setup!$N$9:$N$14,MATCH(O367,Setup!$M$9:$M$14,0))&amp;" ","")&amp;IF(C367="","",TEXT(C367,"h:mm AM/PM")&amp;" ")&amp;D367&amp;IF(H367="",""," · "&amp;H367))</f>
        <v/>
      </c>
      <c r="AF367" s="51" t="str">
        <f aca="false">IF(OR(A367="",AA367=""),"",IF(AND(A367&gt;=Dashboard!$G$4,A367&lt;=Dashboard!$I$4),AA367+ROW()/10^9,""))</f>
        <v/>
      </c>
      <c r="AG367" s="51" t="str">
        <f aca="false">IF(A367="","",WEEKDAY(A367,2))</f>
        <v/>
      </c>
    </row>
    <row r="368" customFormat="false" ht="15" hidden="false" customHeight="false" outlineLevel="0" collapsed="false">
      <c r="A368" s="43"/>
      <c r="B368" s="11" t="str">
        <f aca="false">IF(A368="","",TEXT(A368,"ddd"))</f>
        <v/>
      </c>
      <c r="C368" s="44"/>
      <c r="D368" s="16"/>
      <c r="E368" s="16"/>
      <c r="F368" s="16"/>
      <c r="G368" s="16"/>
      <c r="H368" s="45"/>
      <c r="I368" s="45"/>
      <c r="J368" s="11" t="str">
        <f aca="false">IF(I368="","",LEN(I368))</f>
        <v/>
      </c>
      <c r="K368" s="16"/>
      <c r="L368" s="16"/>
      <c r="M368" s="11" t="str">
        <f aca="false">IF(L368="","",IFERROR(INDEX('Hashtag Bank'!$E$5:$E$104,MATCH(L368,'Hashtag Bank'!$B$5:$B$104,0)),""))</f>
        <v/>
      </c>
      <c r="N368" s="16"/>
      <c r="O368" s="16"/>
      <c r="P368" s="16"/>
      <c r="Q368" s="46" t="str">
        <f aca="true">IF(A368&amp;H368="","",TRIM(IF(AND(A368&lt;&gt;"",A368&lt;TODAY(),O368&lt;&gt;"Published",O368&lt;&gt;"Repurpose"),"⚠ Overdue ","")&amp;IF(AND(J368&lt;&gt;"",D368&lt;&gt;"",IFERROR(J368&gt;INDEX(Setup!$E$9:$E$18,MATCH(D368,Setup!$B$9:$B$18,0)),FALSE())),"✂ Caption too long ","")&amp;IF(AND(M368&lt;&gt;"",D368&lt;&gt;"",IFERROR(M368&gt;INDEX(Setup!$F$9:$F$18,MATCH(D368,Setup!$B$9:$B$18,0)),FALSE())),"# Too many tags","")))</f>
        <v/>
      </c>
      <c r="R368" s="16"/>
      <c r="S368" s="19"/>
      <c r="T368" s="19"/>
      <c r="U368" s="19"/>
      <c r="V368" s="19"/>
      <c r="W368" s="19"/>
      <c r="X368" s="19"/>
      <c r="Y368" s="19"/>
      <c r="Z368" s="47" t="str">
        <f aca="false">IF(COUNT(U368:X368)=0,"",SUM(U368:X368))</f>
        <v/>
      </c>
      <c r="AA368" s="48" t="str">
        <f aca="false">IF(OR(Z368="",N(T368)=0),"",Z368/T368)</f>
        <v/>
      </c>
      <c r="AB368" s="45"/>
      <c r="AC368" s="51" t="str">
        <f aca="false">IF(A368="","",A368+N(C368)+ROW()/10^7)</f>
        <v/>
      </c>
      <c r="AD368" s="51" t="str">
        <f aca="false">IF(A368="","",TEXT(A368,"0")&amp;"|"&amp;COUNTIFS('Content Log'!$A$5:$A$504,A368,'Content Log'!$AC$5:$AC$504,"&lt;="&amp;AC368))</f>
        <v/>
      </c>
      <c r="AE368" s="51" t="str">
        <f aca="false">IF(A368="","",IFERROR(INDEX(Setup!$N$9:$N$14,MATCH(O368,Setup!$M$9:$M$14,0))&amp;" ","")&amp;IF(C368="","",TEXT(C368,"h:mm AM/PM")&amp;" ")&amp;D368&amp;IF(H368="",""," · "&amp;H368))</f>
        <v/>
      </c>
      <c r="AF368" s="51" t="str">
        <f aca="false">IF(OR(A368="",AA368=""),"",IF(AND(A368&gt;=Dashboard!$G$4,A368&lt;=Dashboard!$I$4),AA368+ROW()/10^9,""))</f>
        <v/>
      </c>
      <c r="AG368" s="51" t="str">
        <f aca="false">IF(A368="","",WEEKDAY(A368,2))</f>
        <v/>
      </c>
    </row>
    <row r="369" customFormat="false" ht="15" hidden="false" customHeight="false" outlineLevel="0" collapsed="false">
      <c r="A369" s="43"/>
      <c r="B369" s="11" t="str">
        <f aca="false">IF(A369="","",TEXT(A369,"ddd"))</f>
        <v/>
      </c>
      <c r="C369" s="44"/>
      <c r="D369" s="16"/>
      <c r="E369" s="16"/>
      <c r="F369" s="16"/>
      <c r="G369" s="16"/>
      <c r="H369" s="45"/>
      <c r="I369" s="45"/>
      <c r="J369" s="11" t="str">
        <f aca="false">IF(I369="","",LEN(I369))</f>
        <v/>
      </c>
      <c r="K369" s="16"/>
      <c r="L369" s="16"/>
      <c r="M369" s="11" t="str">
        <f aca="false">IF(L369="","",IFERROR(INDEX('Hashtag Bank'!$E$5:$E$104,MATCH(L369,'Hashtag Bank'!$B$5:$B$104,0)),""))</f>
        <v/>
      </c>
      <c r="N369" s="16"/>
      <c r="O369" s="16"/>
      <c r="P369" s="16"/>
      <c r="Q369" s="46" t="str">
        <f aca="true">IF(A369&amp;H369="","",TRIM(IF(AND(A369&lt;&gt;"",A369&lt;TODAY(),O369&lt;&gt;"Published",O369&lt;&gt;"Repurpose"),"⚠ Overdue ","")&amp;IF(AND(J369&lt;&gt;"",D369&lt;&gt;"",IFERROR(J369&gt;INDEX(Setup!$E$9:$E$18,MATCH(D369,Setup!$B$9:$B$18,0)),FALSE())),"✂ Caption too long ","")&amp;IF(AND(M369&lt;&gt;"",D369&lt;&gt;"",IFERROR(M369&gt;INDEX(Setup!$F$9:$F$18,MATCH(D369,Setup!$B$9:$B$18,0)),FALSE())),"# Too many tags","")))</f>
        <v/>
      </c>
      <c r="R369" s="16"/>
      <c r="S369" s="19"/>
      <c r="T369" s="19"/>
      <c r="U369" s="19"/>
      <c r="V369" s="19"/>
      <c r="W369" s="19"/>
      <c r="X369" s="19"/>
      <c r="Y369" s="19"/>
      <c r="Z369" s="47" t="str">
        <f aca="false">IF(COUNT(U369:X369)=0,"",SUM(U369:X369))</f>
        <v/>
      </c>
      <c r="AA369" s="48" t="str">
        <f aca="false">IF(OR(Z369="",N(T369)=0),"",Z369/T369)</f>
        <v/>
      </c>
      <c r="AB369" s="45"/>
      <c r="AC369" s="51" t="str">
        <f aca="false">IF(A369="","",A369+N(C369)+ROW()/10^7)</f>
        <v/>
      </c>
      <c r="AD369" s="51" t="str">
        <f aca="false">IF(A369="","",TEXT(A369,"0")&amp;"|"&amp;COUNTIFS('Content Log'!$A$5:$A$504,A369,'Content Log'!$AC$5:$AC$504,"&lt;="&amp;AC369))</f>
        <v/>
      </c>
      <c r="AE369" s="51" t="str">
        <f aca="false">IF(A369="","",IFERROR(INDEX(Setup!$N$9:$N$14,MATCH(O369,Setup!$M$9:$M$14,0))&amp;" ","")&amp;IF(C369="","",TEXT(C369,"h:mm AM/PM")&amp;" ")&amp;D369&amp;IF(H369="",""," · "&amp;H369))</f>
        <v/>
      </c>
      <c r="AF369" s="51" t="str">
        <f aca="false">IF(OR(A369="",AA369=""),"",IF(AND(A369&gt;=Dashboard!$G$4,A369&lt;=Dashboard!$I$4),AA369+ROW()/10^9,""))</f>
        <v/>
      </c>
      <c r="AG369" s="51" t="str">
        <f aca="false">IF(A369="","",WEEKDAY(A369,2))</f>
        <v/>
      </c>
    </row>
    <row r="370" customFormat="false" ht="15" hidden="false" customHeight="false" outlineLevel="0" collapsed="false">
      <c r="A370" s="43"/>
      <c r="B370" s="11" t="str">
        <f aca="false">IF(A370="","",TEXT(A370,"ddd"))</f>
        <v/>
      </c>
      <c r="C370" s="44"/>
      <c r="D370" s="16"/>
      <c r="E370" s="16"/>
      <c r="F370" s="16"/>
      <c r="G370" s="16"/>
      <c r="H370" s="45"/>
      <c r="I370" s="45"/>
      <c r="J370" s="11" t="str">
        <f aca="false">IF(I370="","",LEN(I370))</f>
        <v/>
      </c>
      <c r="K370" s="16"/>
      <c r="L370" s="16"/>
      <c r="M370" s="11" t="str">
        <f aca="false">IF(L370="","",IFERROR(INDEX('Hashtag Bank'!$E$5:$E$104,MATCH(L370,'Hashtag Bank'!$B$5:$B$104,0)),""))</f>
        <v/>
      </c>
      <c r="N370" s="16"/>
      <c r="O370" s="16"/>
      <c r="P370" s="16"/>
      <c r="Q370" s="46" t="str">
        <f aca="true">IF(A370&amp;H370="","",TRIM(IF(AND(A370&lt;&gt;"",A370&lt;TODAY(),O370&lt;&gt;"Published",O370&lt;&gt;"Repurpose"),"⚠ Overdue ","")&amp;IF(AND(J370&lt;&gt;"",D370&lt;&gt;"",IFERROR(J370&gt;INDEX(Setup!$E$9:$E$18,MATCH(D370,Setup!$B$9:$B$18,0)),FALSE())),"✂ Caption too long ","")&amp;IF(AND(M370&lt;&gt;"",D370&lt;&gt;"",IFERROR(M370&gt;INDEX(Setup!$F$9:$F$18,MATCH(D370,Setup!$B$9:$B$18,0)),FALSE())),"# Too many tags","")))</f>
        <v/>
      </c>
      <c r="R370" s="16"/>
      <c r="S370" s="19"/>
      <c r="T370" s="19"/>
      <c r="U370" s="19"/>
      <c r="V370" s="19"/>
      <c r="W370" s="19"/>
      <c r="X370" s="19"/>
      <c r="Y370" s="19"/>
      <c r="Z370" s="47" t="str">
        <f aca="false">IF(COUNT(U370:X370)=0,"",SUM(U370:X370))</f>
        <v/>
      </c>
      <c r="AA370" s="48" t="str">
        <f aca="false">IF(OR(Z370="",N(T370)=0),"",Z370/T370)</f>
        <v/>
      </c>
      <c r="AB370" s="45"/>
      <c r="AC370" s="51" t="str">
        <f aca="false">IF(A370="","",A370+N(C370)+ROW()/10^7)</f>
        <v/>
      </c>
      <c r="AD370" s="51" t="str">
        <f aca="false">IF(A370="","",TEXT(A370,"0")&amp;"|"&amp;COUNTIFS('Content Log'!$A$5:$A$504,A370,'Content Log'!$AC$5:$AC$504,"&lt;="&amp;AC370))</f>
        <v/>
      </c>
      <c r="AE370" s="51" t="str">
        <f aca="false">IF(A370="","",IFERROR(INDEX(Setup!$N$9:$N$14,MATCH(O370,Setup!$M$9:$M$14,0))&amp;" ","")&amp;IF(C370="","",TEXT(C370,"h:mm AM/PM")&amp;" ")&amp;D370&amp;IF(H370="",""," · "&amp;H370))</f>
        <v/>
      </c>
      <c r="AF370" s="51" t="str">
        <f aca="false">IF(OR(A370="",AA370=""),"",IF(AND(A370&gt;=Dashboard!$G$4,A370&lt;=Dashboard!$I$4),AA370+ROW()/10^9,""))</f>
        <v/>
      </c>
      <c r="AG370" s="51" t="str">
        <f aca="false">IF(A370="","",WEEKDAY(A370,2))</f>
        <v/>
      </c>
    </row>
    <row r="371" customFormat="false" ht="15" hidden="false" customHeight="false" outlineLevel="0" collapsed="false">
      <c r="A371" s="43"/>
      <c r="B371" s="11" t="str">
        <f aca="false">IF(A371="","",TEXT(A371,"ddd"))</f>
        <v/>
      </c>
      <c r="C371" s="44"/>
      <c r="D371" s="16"/>
      <c r="E371" s="16"/>
      <c r="F371" s="16"/>
      <c r="G371" s="16"/>
      <c r="H371" s="45"/>
      <c r="I371" s="45"/>
      <c r="J371" s="11" t="str">
        <f aca="false">IF(I371="","",LEN(I371))</f>
        <v/>
      </c>
      <c r="K371" s="16"/>
      <c r="L371" s="16"/>
      <c r="M371" s="11" t="str">
        <f aca="false">IF(L371="","",IFERROR(INDEX('Hashtag Bank'!$E$5:$E$104,MATCH(L371,'Hashtag Bank'!$B$5:$B$104,0)),""))</f>
        <v/>
      </c>
      <c r="N371" s="16"/>
      <c r="O371" s="16"/>
      <c r="P371" s="16"/>
      <c r="Q371" s="46" t="str">
        <f aca="true">IF(A371&amp;H371="","",TRIM(IF(AND(A371&lt;&gt;"",A371&lt;TODAY(),O371&lt;&gt;"Published",O371&lt;&gt;"Repurpose"),"⚠ Overdue ","")&amp;IF(AND(J371&lt;&gt;"",D371&lt;&gt;"",IFERROR(J371&gt;INDEX(Setup!$E$9:$E$18,MATCH(D371,Setup!$B$9:$B$18,0)),FALSE())),"✂ Caption too long ","")&amp;IF(AND(M371&lt;&gt;"",D371&lt;&gt;"",IFERROR(M371&gt;INDEX(Setup!$F$9:$F$18,MATCH(D371,Setup!$B$9:$B$18,0)),FALSE())),"# Too many tags","")))</f>
        <v/>
      </c>
      <c r="R371" s="16"/>
      <c r="S371" s="19"/>
      <c r="T371" s="19"/>
      <c r="U371" s="19"/>
      <c r="V371" s="19"/>
      <c r="W371" s="19"/>
      <c r="X371" s="19"/>
      <c r="Y371" s="19"/>
      <c r="Z371" s="47" t="str">
        <f aca="false">IF(COUNT(U371:X371)=0,"",SUM(U371:X371))</f>
        <v/>
      </c>
      <c r="AA371" s="48" t="str">
        <f aca="false">IF(OR(Z371="",N(T371)=0),"",Z371/T371)</f>
        <v/>
      </c>
      <c r="AB371" s="45"/>
      <c r="AC371" s="51" t="str">
        <f aca="false">IF(A371="","",A371+N(C371)+ROW()/10^7)</f>
        <v/>
      </c>
      <c r="AD371" s="51" t="str">
        <f aca="false">IF(A371="","",TEXT(A371,"0")&amp;"|"&amp;COUNTIFS('Content Log'!$A$5:$A$504,A371,'Content Log'!$AC$5:$AC$504,"&lt;="&amp;AC371))</f>
        <v/>
      </c>
      <c r="AE371" s="51" t="str">
        <f aca="false">IF(A371="","",IFERROR(INDEX(Setup!$N$9:$N$14,MATCH(O371,Setup!$M$9:$M$14,0))&amp;" ","")&amp;IF(C371="","",TEXT(C371,"h:mm AM/PM")&amp;" ")&amp;D371&amp;IF(H371="",""," · "&amp;H371))</f>
        <v/>
      </c>
      <c r="AF371" s="51" t="str">
        <f aca="false">IF(OR(A371="",AA371=""),"",IF(AND(A371&gt;=Dashboard!$G$4,A371&lt;=Dashboard!$I$4),AA371+ROW()/10^9,""))</f>
        <v/>
      </c>
      <c r="AG371" s="51" t="str">
        <f aca="false">IF(A371="","",WEEKDAY(A371,2))</f>
        <v/>
      </c>
    </row>
    <row r="372" customFormat="false" ht="15" hidden="false" customHeight="false" outlineLevel="0" collapsed="false">
      <c r="A372" s="43"/>
      <c r="B372" s="11" t="str">
        <f aca="false">IF(A372="","",TEXT(A372,"ddd"))</f>
        <v/>
      </c>
      <c r="C372" s="44"/>
      <c r="D372" s="16"/>
      <c r="E372" s="16"/>
      <c r="F372" s="16"/>
      <c r="G372" s="16"/>
      <c r="H372" s="45"/>
      <c r="I372" s="45"/>
      <c r="J372" s="11" t="str">
        <f aca="false">IF(I372="","",LEN(I372))</f>
        <v/>
      </c>
      <c r="K372" s="16"/>
      <c r="L372" s="16"/>
      <c r="M372" s="11" t="str">
        <f aca="false">IF(L372="","",IFERROR(INDEX('Hashtag Bank'!$E$5:$E$104,MATCH(L372,'Hashtag Bank'!$B$5:$B$104,0)),""))</f>
        <v/>
      </c>
      <c r="N372" s="16"/>
      <c r="O372" s="16"/>
      <c r="P372" s="16"/>
      <c r="Q372" s="46" t="str">
        <f aca="true">IF(A372&amp;H372="","",TRIM(IF(AND(A372&lt;&gt;"",A372&lt;TODAY(),O372&lt;&gt;"Published",O372&lt;&gt;"Repurpose"),"⚠ Overdue ","")&amp;IF(AND(J372&lt;&gt;"",D372&lt;&gt;"",IFERROR(J372&gt;INDEX(Setup!$E$9:$E$18,MATCH(D372,Setup!$B$9:$B$18,0)),FALSE())),"✂ Caption too long ","")&amp;IF(AND(M372&lt;&gt;"",D372&lt;&gt;"",IFERROR(M372&gt;INDEX(Setup!$F$9:$F$18,MATCH(D372,Setup!$B$9:$B$18,0)),FALSE())),"# Too many tags","")))</f>
        <v/>
      </c>
      <c r="R372" s="16"/>
      <c r="S372" s="19"/>
      <c r="T372" s="19"/>
      <c r="U372" s="19"/>
      <c r="V372" s="19"/>
      <c r="W372" s="19"/>
      <c r="X372" s="19"/>
      <c r="Y372" s="19"/>
      <c r="Z372" s="47" t="str">
        <f aca="false">IF(COUNT(U372:X372)=0,"",SUM(U372:X372))</f>
        <v/>
      </c>
      <c r="AA372" s="48" t="str">
        <f aca="false">IF(OR(Z372="",N(T372)=0),"",Z372/T372)</f>
        <v/>
      </c>
      <c r="AB372" s="45"/>
      <c r="AC372" s="51" t="str">
        <f aca="false">IF(A372="","",A372+N(C372)+ROW()/10^7)</f>
        <v/>
      </c>
      <c r="AD372" s="51" t="str">
        <f aca="false">IF(A372="","",TEXT(A372,"0")&amp;"|"&amp;COUNTIFS('Content Log'!$A$5:$A$504,A372,'Content Log'!$AC$5:$AC$504,"&lt;="&amp;AC372))</f>
        <v/>
      </c>
      <c r="AE372" s="51" t="str">
        <f aca="false">IF(A372="","",IFERROR(INDEX(Setup!$N$9:$N$14,MATCH(O372,Setup!$M$9:$M$14,0))&amp;" ","")&amp;IF(C372="","",TEXT(C372,"h:mm AM/PM")&amp;" ")&amp;D372&amp;IF(H372="",""," · "&amp;H372))</f>
        <v/>
      </c>
      <c r="AF372" s="51" t="str">
        <f aca="false">IF(OR(A372="",AA372=""),"",IF(AND(A372&gt;=Dashboard!$G$4,A372&lt;=Dashboard!$I$4),AA372+ROW()/10^9,""))</f>
        <v/>
      </c>
      <c r="AG372" s="51" t="str">
        <f aca="false">IF(A372="","",WEEKDAY(A372,2))</f>
        <v/>
      </c>
    </row>
    <row r="373" customFormat="false" ht="15" hidden="false" customHeight="false" outlineLevel="0" collapsed="false">
      <c r="A373" s="43"/>
      <c r="B373" s="11" t="str">
        <f aca="false">IF(A373="","",TEXT(A373,"ddd"))</f>
        <v/>
      </c>
      <c r="C373" s="44"/>
      <c r="D373" s="16"/>
      <c r="E373" s="16"/>
      <c r="F373" s="16"/>
      <c r="G373" s="16"/>
      <c r="H373" s="45"/>
      <c r="I373" s="45"/>
      <c r="J373" s="11" t="str">
        <f aca="false">IF(I373="","",LEN(I373))</f>
        <v/>
      </c>
      <c r="K373" s="16"/>
      <c r="L373" s="16"/>
      <c r="M373" s="11" t="str">
        <f aca="false">IF(L373="","",IFERROR(INDEX('Hashtag Bank'!$E$5:$E$104,MATCH(L373,'Hashtag Bank'!$B$5:$B$104,0)),""))</f>
        <v/>
      </c>
      <c r="N373" s="16"/>
      <c r="O373" s="16"/>
      <c r="P373" s="16"/>
      <c r="Q373" s="46" t="str">
        <f aca="true">IF(A373&amp;H373="","",TRIM(IF(AND(A373&lt;&gt;"",A373&lt;TODAY(),O373&lt;&gt;"Published",O373&lt;&gt;"Repurpose"),"⚠ Overdue ","")&amp;IF(AND(J373&lt;&gt;"",D373&lt;&gt;"",IFERROR(J373&gt;INDEX(Setup!$E$9:$E$18,MATCH(D373,Setup!$B$9:$B$18,0)),FALSE())),"✂ Caption too long ","")&amp;IF(AND(M373&lt;&gt;"",D373&lt;&gt;"",IFERROR(M373&gt;INDEX(Setup!$F$9:$F$18,MATCH(D373,Setup!$B$9:$B$18,0)),FALSE())),"# Too many tags","")))</f>
        <v/>
      </c>
      <c r="R373" s="16"/>
      <c r="S373" s="19"/>
      <c r="T373" s="19"/>
      <c r="U373" s="19"/>
      <c r="V373" s="19"/>
      <c r="W373" s="19"/>
      <c r="X373" s="19"/>
      <c r="Y373" s="19"/>
      <c r="Z373" s="47" t="str">
        <f aca="false">IF(COUNT(U373:X373)=0,"",SUM(U373:X373))</f>
        <v/>
      </c>
      <c r="AA373" s="48" t="str">
        <f aca="false">IF(OR(Z373="",N(T373)=0),"",Z373/T373)</f>
        <v/>
      </c>
      <c r="AB373" s="45"/>
      <c r="AC373" s="51" t="str">
        <f aca="false">IF(A373="","",A373+N(C373)+ROW()/10^7)</f>
        <v/>
      </c>
      <c r="AD373" s="51" t="str">
        <f aca="false">IF(A373="","",TEXT(A373,"0")&amp;"|"&amp;COUNTIFS('Content Log'!$A$5:$A$504,A373,'Content Log'!$AC$5:$AC$504,"&lt;="&amp;AC373))</f>
        <v/>
      </c>
      <c r="AE373" s="51" t="str">
        <f aca="false">IF(A373="","",IFERROR(INDEX(Setup!$N$9:$N$14,MATCH(O373,Setup!$M$9:$M$14,0))&amp;" ","")&amp;IF(C373="","",TEXT(C373,"h:mm AM/PM")&amp;" ")&amp;D373&amp;IF(H373="",""," · "&amp;H373))</f>
        <v/>
      </c>
      <c r="AF373" s="51" t="str">
        <f aca="false">IF(OR(A373="",AA373=""),"",IF(AND(A373&gt;=Dashboard!$G$4,A373&lt;=Dashboard!$I$4),AA373+ROW()/10^9,""))</f>
        <v/>
      </c>
      <c r="AG373" s="51" t="str">
        <f aca="false">IF(A373="","",WEEKDAY(A373,2))</f>
        <v/>
      </c>
    </row>
    <row r="374" customFormat="false" ht="15" hidden="false" customHeight="false" outlineLevel="0" collapsed="false">
      <c r="A374" s="43"/>
      <c r="B374" s="11" t="str">
        <f aca="false">IF(A374="","",TEXT(A374,"ddd"))</f>
        <v/>
      </c>
      <c r="C374" s="44"/>
      <c r="D374" s="16"/>
      <c r="E374" s="16"/>
      <c r="F374" s="16"/>
      <c r="G374" s="16"/>
      <c r="H374" s="45"/>
      <c r="I374" s="45"/>
      <c r="J374" s="11" t="str">
        <f aca="false">IF(I374="","",LEN(I374))</f>
        <v/>
      </c>
      <c r="K374" s="16"/>
      <c r="L374" s="16"/>
      <c r="M374" s="11" t="str">
        <f aca="false">IF(L374="","",IFERROR(INDEX('Hashtag Bank'!$E$5:$E$104,MATCH(L374,'Hashtag Bank'!$B$5:$B$104,0)),""))</f>
        <v/>
      </c>
      <c r="N374" s="16"/>
      <c r="O374" s="16"/>
      <c r="P374" s="16"/>
      <c r="Q374" s="46" t="str">
        <f aca="true">IF(A374&amp;H374="","",TRIM(IF(AND(A374&lt;&gt;"",A374&lt;TODAY(),O374&lt;&gt;"Published",O374&lt;&gt;"Repurpose"),"⚠ Overdue ","")&amp;IF(AND(J374&lt;&gt;"",D374&lt;&gt;"",IFERROR(J374&gt;INDEX(Setup!$E$9:$E$18,MATCH(D374,Setup!$B$9:$B$18,0)),FALSE())),"✂ Caption too long ","")&amp;IF(AND(M374&lt;&gt;"",D374&lt;&gt;"",IFERROR(M374&gt;INDEX(Setup!$F$9:$F$18,MATCH(D374,Setup!$B$9:$B$18,0)),FALSE())),"# Too many tags","")))</f>
        <v/>
      </c>
      <c r="R374" s="16"/>
      <c r="S374" s="19"/>
      <c r="T374" s="19"/>
      <c r="U374" s="19"/>
      <c r="V374" s="19"/>
      <c r="W374" s="19"/>
      <c r="X374" s="19"/>
      <c r="Y374" s="19"/>
      <c r="Z374" s="47" t="str">
        <f aca="false">IF(COUNT(U374:X374)=0,"",SUM(U374:X374))</f>
        <v/>
      </c>
      <c r="AA374" s="48" t="str">
        <f aca="false">IF(OR(Z374="",N(T374)=0),"",Z374/T374)</f>
        <v/>
      </c>
      <c r="AB374" s="45"/>
      <c r="AC374" s="51" t="str">
        <f aca="false">IF(A374="","",A374+N(C374)+ROW()/10^7)</f>
        <v/>
      </c>
      <c r="AD374" s="51" t="str">
        <f aca="false">IF(A374="","",TEXT(A374,"0")&amp;"|"&amp;COUNTIFS('Content Log'!$A$5:$A$504,A374,'Content Log'!$AC$5:$AC$504,"&lt;="&amp;AC374))</f>
        <v/>
      </c>
      <c r="AE374" s="51" t="str">
        <f aca="false">IF(A374="","",IFERROR(INDEX(Setup!$N$9:$N$14,MATCH(O374,Setup!$M$9:$M$14,0))&amp;" ","")&amp;IF(C374="","",TEXT(C374,"h:mm AM/PM")&amp;" ")&amp;D374&amp;IF(H374="",""," · "&amp;H374))</f>
        <v/>
      </c>
      <c r="AF374" s="51" t="str">
        <f aca="false">IF(OR(A374="",AA374=""),"",IF(AND(A374&gt;=Dashboard!$G$4,A374&lt;=Dashboard!$I$4),AA374+ROW()/10^9,""))</f>
        <v/>
      </c>
      <c r="AG374" s="51" t="str">
        <f aca="false">IF(A374="","",WEEKDAY(A374,2))</f>
        <v/>
      </c>
    </row>
    <row r="375" customFormat="false" ht="15" hidden="false" customHeight="false" outlineLevel="0" collapsed="false">
      <c r="A375" s="43"/>
      <c r="B375" s="11" t="str">
        <f aca="false">IF(A375="","",TEXT(A375,"ddd"))</f>
        <v/>
      </c>
      <c r="C375" s="44"/>
      <c r="D375" s="16"/>
      <c r="E375" s="16"/>
      <c r="F375" s="16"/>
      <c r="G375" s="16"/>
      <c r="H375" s="45"/>
      <c r="I375" s="45"/>
      <c r="J375" s="11" t="str">
        <f aca="false">IF(I375="","",LEN(I375))</f>
        <v/>
      </c>
      <c r="K375" s="16"/>
      <c r="L375" s="16"/>
      <c r="M375" s="11" t="str">
        <f aca="false">IF(L375="","",IFERROR(INDEX('Hashtag Bank'!$E$5:$E$104,MATCH(L375,'Hashtag Bank'!$B$5:$B$104,0)),""))</f>
        <v/>
      </c>
      <c r="N375" s="16"/>
      <c r="O375" s="16"/>
      <c r="P375" s="16"/>
      <c r="Q375" s="46" t="str">
        <f aca="true">IF(A375&amp;H375="","",TRIM(IF(AND(A375&lt;&gt;"",A375&lt;TODAY(),O375&lt;&gt;"Published",O375&lt;&gt;"Repurpose"),"⚠ Overdue ","")&amp;IF(AND(J375&lt;&gt;"",D375&lt;&gt;"",IFERROR(J375&gt;INDEX(Setup!$E$9:$E$18,MATCH(D375,Setup!$B$9:$B$18,0)),FALSE())),"✂ Caption too long ","")&amp;IF(AND(M375&lt;&gt;"",D375&lt;&gt;"",IFERROR(M375&gt;INDEX(Setup!$F$9:$F$18,MATCH(D375,Setup!$B$9:$B$18,0)),FALSE())),"# Too many tags","")))</f>
        <v/>
      </c>
      <c r="R375" s="16"/>
      <c r="S375" s="19"/>
      <c r="T375" s="19"/>
      <c r="U375" s="19"/>
      <c r="V375" s="19"/>
      <c r="W375" s="19"/>
      <c r="X375" s="19"/>
      <c r="Y375" s="19"/>
      <c r="Z375" s="47" t="str">
        <f aca="false">IF(COUNT(U375:X375)=0,"",SUM(U375:X375))</f>
        <v/>
      </c>
      <c r="AA375" s="48" t="str">
        <f aca="false">IF(OR(Z375="",N(T375)=0),"",Z375/T375)</f>
        <v/>
      </c>
      <c r="AB375" s="45"/>
      <c r="AC375" s="51" t="str">
        <f aca="false">IF(A375="","",A375+N(C375)+ROW()/10^7)</f>
        <v/>
      </c>
      <c r="AD375" s="51" t="str">
        <f aca="false">IF(A375="","",TEXT(A375,"0")&amp;"|"&amp;COUNTIFS('Content Log'!$A$5:$A$504,A375,'Content Log'!$AC$5:$AC$504,"&lt;="&amp;AC375))</f>
        <v/>
      </c>
      <c r="AE375" s="51" t="str">
        <f aca="false">IF(A375="","",IFERROR(INDEX(Setup!$N$9:$N$14,MATCH(O375,Setup!$M$9:$M$14,0))&amp;" ","")&amp;IF(C375="","",TEXT(C375,"h:mm AM/PM")&amp;" ")&amp;D375&amp;IF(H375="",""," · "&amp;H375))</f>
        <v/>
      </c>
      <c r="AF375" s="51" t="str">
        <f aca="false">IF(OR(A375="",AA375=""),"",IF(AND(A375&gt;=Dashboard!$G$4,A375&lt;=Dashboard!$I$4),AA375+ROW()/10^9,""))</f>
        <v/>
      </c>
      <c r="AG375" s="51" t="str">
        <f aca="false">IF(A375="","",WEEKDAY(A375,2))</f>
        <v/>
      </c>
    </row>
    <row r="376" customFormat="false" ht="15" hidden="false" customHeight="false" outlineLevel="0" collapsed="false">
      <c r="A376" s="43"/>
      <c r="B376" s="11" t="str">
        <f aca="false">IF(A376="","",TEXT(A376,"ddd"))</f>
        <v/>
      </c>
      <c r="C376" s="44"/>
      <c r="D376" s="16"/>
      <c r="E376" s="16"/>
      <c r="F376" s="16"/>
      <c r="G376" s="16"/>
      <c r="H376" s="45"/>
      <c r="I376" s="45"/>
      <c r="J376" s="11" t="str">
        <f aca="false">IF(I376="","",LEN(I376))</f>
        <v/>
      </c>
      <c r="K376" s="16"/>
      <c r="L376" s="16"/>
      <c r="M376" s="11" t="str">
        <f aca="false">IF(L376="","",IFERROR(INDEX('Hashtag Bank'!$E$5:$E$104,MATCH(L376,'Hashtag Bank'!$B$5:$B$104,0)),""))</f>
        <v/>
      </c>
      <c r="N376" s="16"/>
      <c r="O376" s="16"/>
      <c r="P376" s="16"/>
      <c r="Q376" s="46" t="str">
        <f aca="true">IF(A376&amp;H376="","",TRIM(IF(AND(A376&lt;&gt;"",A376&lt;TODAY(),O376&lt;&gt;"Published",O376&lt;&gt;"Repurpose"),"⚠ Overdue ","")&amp;IF(AND(J376&lt;&gt;"",D376&lt;&gt;"",IFERROR(J376&gt;INDEX(Setup!$E$9:$E$18,MATCH(D376,Setup!$B$9:$B$18,0)),FALSE())),"✂ Caption too long ","")&amp;IF(AND(M376&lt;&gt;"",D376&lt;&gt;"",IFERROR(M376&gt;INDEX(Setup!$F$9:$F$18,MATCH(D376,Setup!$B$9:$B$18,0)),FALSE())),"# Too many tags","")))</f>
        <v/>
      </c>
      <c r="R376" s="16"/>
      <c r="S376" s="19"/>
      <c r="T376" s="19"/>
      <c r="U376" s="19"/>
      <c r="V376" s="19"/>
      <c r="W376" s="19"/>
      <c r="X376" s="19"/>
      <c r="Y376" s="19"/>
      <c r="Z376" s="47" t="str">
        <f aca="false">IF(COUNT(U376:X376)=0,"",SUM(U376:X376))</f>
        <v/>
      </c>
      <c r="AA376" s="48" t="str">
        <f aca="false">IF(OR(Z376="",N(T376)=0),"",Z376/T376)</f>
        <v/>
      </c>
      <c r="AB376" s="45"/>
      <c r="AC376" s="51" t="str">
        <f aca="false">IF(A376="","",A376+N(C376)+ROW()/10^7)</f>
        <v/>
      </c>
      <c r="AD376" s="51" t="str">
        <f aca="false">IF(A376="","",TEXT(A376,"0")&amp;"|"&amp;COUNTIFS('Content Log'!$A$5:$A$504,A376,'Content Log'!$AC$5:$AC$504,"&lt;="&amp;AC376))</f>
        <v/>
      </c>
      <c r="AE376" s="51" t="str">
        <f aca="false">IF(A376="","",IFERROR(INDEX(Setup!$N$9:$N$14,MATCH(O376,Setup!$M$9:$M$14,0))&amp;" ","")&amp;IF(C376="","",TEXT(C376,"h:mm AM/PM")&amp;" ")&amp;D376&amp;IF(H376="",""," · "&amp;H376))</f>
        <v/>
      </c>
      <c r="AF376" s="51" t="str">
        <f aca="false">IF(OR(A376="",AA376=""),"",IF(AND(A376&gt;=Dashboard!$G$4,A376&lt;=Dashboard!$I$4),AA376+ROW()/10^9,""))</f>
        <v/>
      </c>
      <c r="AG376" s="51" t="str">
        <f aca="false">IF(A376="","",WEEKDAY(A376,2))</f>
        <v/>
      </c>
    </row>
    <row r="377" customFormat="false" ht="15" hidden="false" customHeight="false" outlineLevel="0" collapsed="false">
      <c r="A377" s="43"/>
      <c r="B377" s="11" t="str">
        <f aca="false">IF(A377="","",TEXT(A377,"ddd"))</f>
        <v/>
      </c>
      <c r="C377" s="44"/>
      <c r="D377" s="16"/>
      <c r="E377" s="16"/>
      <c r="F377" s="16"/>
      <c r="G377" s="16"/>
      <c r="H377" s="45"/>
      <c r="I377" s="45"/>
      <c r="J377" s="11" t="str">
        <f aca="false">IF(I377="","",LEN(I377))</f>
        <v/>
      </c>
      <c r="K377" s="16"/>
      <c r="L377" s="16"/>
      <c r="M377" s="11" t="str">
        <f aca="false">IF(L377="","",IFERROR(INDEX('Hashtag Bank'!$E$5:$E$104,MATCH(L377,'Hashtag Bank'!$B$5:$B$104,0)),""))</f>
        <v/>
      </c>
      <c r="N377" s="16"/>
      <c r="O377" s="16"/>
      <c r="P377" s="16"/>
      <c r="Q377" s="46" t="str">
        <f aca="true">IF(A377&amp;H377="","",TRIM(IF(AND(A377&lt;&gt;"",A377&lt;TODAY(),O377&lt;&gt;"Published",O377&lt;&gt;"Repurpose"),"⚠ Overdue ","")&amp;IF(AND(J377&lt;&gt;"",D377&lt;&gt;"",IFERROR(J377&gt;INDEX(Setup!$E$9:$E$18,MATCH(D377,Setup!$B$9:$B$18,0)),FALSE())),"✂ Caption too long ","")&amp;IF(AND(M377&lt;&gt;"",D377&lt;&gt;"",IFERROR(M377&gt;INDEX(Setup!$F$9:$F$18,MATCH(D377,Setup!$B$9:$B$18,0)),FALSE())),"# Too many tags","")))</f>
        <v/>
      </c>
      <c r="R377" s="16"/>
      <c r="S377" s="19"/>
      <c r="T377" s="19"/>
      <c r="U377" s="19"/>
      <c r="V377" s="19"/>
      <c r="W377" s="19"/>
      <c r="X377" s="19"/>
      <c r="Y377" s="19"/>
      <c r="Z377" s="47" t="str">
        <f aca="false">IF(COUNT(U377:X377)=0,"",SUM(U377:X377))</f>
        <v/>
      </c>
      <c r="AA377" s="48" t="str">
        <f aca="false">IF(OR(Z377="",N(T377)=0),"",Z377/T377)</f>
        <v/>
      </c>
      <c r="AB377" s="45"/>
      <c r="AC377" s="51" t="str">
        <f aca="false">IF(A377="","",A377+N(C377)+ROW()/10^7)</f>
        <v/>
      </c>
      <c r="AD377" s="51" t="str">
        <f aca="false">IF(A377="","",TEXT(A377,"0")&amp;"|"&amp;COUNTIFS('Content Log'!$A$5:$A$504,A377,'Content Log'!$AC$5:$AC$504,"&lt;="&amp;AC377))</f>
        <v/>
      </c>
      <c r="AE377" s="51" t="str">
        <f aca="false">IF(A377="","",IFERROR(INDEX(Setup!$N$9:$N$14,MATCH(O377,Setup!$M$9:$M$14,0))&amp;" ","")&amp;IF(C377="","",TEXT(C377,"h:mm AM/PM")&amp;" ")&amp;D377&amp;IF(H377="",""," · "&amp;H377))</f>
        <v/>
      </c>
      <c r="AF377" s="51" t="str">
        <f aca="false">IF(OR(A377="",AA377=""),"",IF(AND(A377&gt;=Dashboard!$G$4,A377&lt;=Dashboard!$I$4),AA377+ROW()/10^9,""))</f>
        <v/>
      </c>
      <c r="AG377" s="51" t="str">
        <f aca="false">IF(A377="","",WEEKDAY(A377,2))</f>
        <v/>
      </c>
    </row>
    <row r="378" customFormat="false" ht="15" hidden="false" customHeight="false" outlineLevel="0" collapsed="false">
      <c r="A378" s="43"/>
      <c r="B378" s="11" t="str">
        <f aca="false">IF(A378="","",TEXT(A378,"ddd"))</f>
        <v/>
      </c>
      <c r="C378" s="44"/>
      <c r="D378" s="16"/>
      <c r="E378" s="16"/>
      <c r="F378" s="16"/>
      <c r="G378" s="16"/>
      <c r="H378" s="45"/>
      <c r="I378" s="45"/>
      <c r="J378" s="11" t="str">
        <f aca="false">IF(I378="","",LEN(I378))</f>
        <v/>
      </c>
      <c r="K378" s="16"/>
      <c r="L378" s="16"/>
      <c r="M378" s="11" t="str">
        <f aca="false">IF(L378="","",IFERROR(INDEX('Hashtag Bank'!$E$5:$E$104,MATCH(L378,'Hashtag Bank'!$B$5:$B$104,0)),""))</f>
        <v/>
      </c>
      <c r="N378" s="16"/>
      <c r="O378" s="16"/>
      <c r="P378" s="16"/>
      <c r="Q378" s="46" t="str">
        <f aca="true">IF(A378&amp;H378="","",TRIM(IF(AND(A378&lt;&gt;"",A378&lt;TODAY(),O378&lt;&gt;"Published",O378&lt;&gt;"Repurpose"),"⚠ Overdue ","")&amp;IF(AND(J378&lt;&gt;"",D378&lt;&gt;"",IFERROR(J378&gt;INDEX(Setup!$E$9:$E$18,MATCH(D378,Setup!$B$9:$B$18,0)),FALSE())),"✂ Caption too long ","")&amp;IF(AND(M378&lt;&gt;"",D378&lt;&gt;"",IFERROR(M378&gt;INDEX(Setup!$F$9:$F$18,MATCH(D378,Setup!$B$9:$B$18,0)),FALSE())),"# Too many tags","")))</f>
        <v/>
      </c>
      <c r="R378" s="16"/>
      <c r="S378" s="19"/>
      <c r="T378" s="19"/>
      <c r="U378" s="19"/>
      <c r="V378" s="19"/>
      <c r="W378" s="19"/>
      <c r="X378" s="19"/>
      <c r="Y378" s="19"/>
      <c r="Z378" s="47" t="str">
        <f aca="false">IF(COUNT(U378:X378)=0,"",SUM(U378:X378))</f>
        <v/>
      </c>
      <c r="AA378" s="48" t="str">
        <f aca="false">IF(OR(Z378="",N(T378)=0),"",Z378/T378)</f>
        <v/>
      </c>
      <c r="AB378" s="45"/>
      <c r="AC378" s="51" t="str">
        <f aca="false">IF(A378="","",A378+N(C378)+ROW()/10^7)</f>
        <v/>
      </c>
      <c r="AD378" s="51" t="str">
        <f aca="false">IF(A378="","",TEXT(A378,"0")&amp;"|"&amp;COUNTIFS('Content Log'!$A$5:$A$504,A378,'Content Log'!$AC$5:$AC$504,"&lt;="&amp;AC378))</f>
        <v/>
      </c>
      <c r="AE378" s="51" t="str">
        <f aca="false">IF(A378="","",IFERROR(INDEX(Setup!$N$9:$N$14,MATCH(O378,Setup!$M$9:$M$14,0))&amp;" ","")&amp;IF(C378="","",TEXT(C378,"h:mm AM/PM")&amp;" ")&amp;D378&amp;IF(H378="",""," · "&amp;H378))</f>
        <v/>
      </c>
      <c r="AF378" s="51" t="str">
        <f aca="false">IF(OR(A378="",AA378=""),"",IF(AND(A378&gt;=Dashboard!$G$4,A378&lt;=Dashboard!$I$4),AA378+ROW()/10^9,""))</f>
        <v/>
      </c>
      <c r="AG378" s="51" t="str">
        <f aca="false">IF(A378="","",WEEKDAY(A378,2))</f>
        <v/>
      </c>
    </row>
    <row r="379" customFormat="false" ht="15" hidden="false" customHeight="false" outlineLevel="0" collapsed="false">
      <c r="A379" s="43"/>
      <c r="B379" s="11" t="str">
        <f aca="false">IF(A379="","",TEXT(A379,"ddd"))</f>
        <v/>
      </c>
      <c r="C379" s="44"/>
      <c r="D379" s="16"/>
      <c r="E379" s="16"/>
      <c r="F379" s="16"/>
      <c r="G379" s="16"/>
      <c r="H379" s="45"/>
      <c r="I379" s="45"/>
      <c r="J379" s="11" t="str">
        <f aca="false">IF(I379="","",LEN(I379))</f>
        <v/>
      </c>
      <c r="K379" s="16"/>
      <c r="L379" s="16"/>
      <c r="M379" s="11" t="str">
        <f aca="false">IF(L379="","",IFERROR(INDEX('Hashtag Bank'!$E$5:$E$104,MATCH(L379,'Hashtag Bank'!$B$5:$B$104,0)),""))</f>
        <v/>
      </c>
      <c r="N379" s="16"/>
      <c r="O379" s="16"/>
      <c r="P379" s="16"/>
      <c r="Q379" s="46" t="str">
        <f aca="true">IF(A379&amp;H379="","",TRIM(IF(AND(A379&lt;&gt;"",A379&lt;TODAY(),O379&lt;&gt;"Published",O379&lt;&gt;"Repurpose"),"⚠ Overdue ","")&amp;IF(AND(J379&lt;&gt;"",D379&lt;&gt;"",IFERROR(J379&gt;INDEX(Setup!$E$9:$E$18,MATCH(D379,Setup!$B$9:$B$18,0)),FALSE())),"✂ Caption too long ","")&amp;IF(AND(M379&lt;&gt;"",D379&lt;&gt;"",IFERROR(M379&gt;INDEX(Setup!$F$9:$F$18,MATCH(D379,Setup!$B$9:$B$18,0)),FALSE())),"# Too many tags","")))</f>
        <v/>
      </c>
      <c r="R379" s="16"/>
      <c r="S379" s="19"/>
      <c r="T379" s="19"/>
      <c r="U379" s="19"/>
      <c r="V379" s="19"/>
      <c r="W379" s="19"/>
      <c r="X379" s="19"/>
      <c r="Y379" s="19"/>
      <c r="Z379" s="47" t="str">
        <f aca="false">IF(COUNT(U379:X379)=0,"",SUM(U379:X379))</f>
        <v/>
      </c>
      <c r="AA379" s="48" t="str">
        <f aca="false">IF(OR(Z379="",N(T379)=0),"",Z379/T379)</f>
        <v/>
      </c>
      <c r="AB379" s="45"/>
      <c r="AC379" s="51" t="str">
        <f aca="false">IF(A379="","",A379+N(C379)+ROW()/10^7)</f>
        <v/>
      </c>
      <c r="AD379" s="51" t="str">
        <f aca="false">IF(A379="","",TEXT(A379,"0")&amp;"|"&amp;COUNTIFS('Content Log'!$A$5:$A$504,A379,'Content Log'!$AC$5:$AC$504,"&lt;="&amp;AC379))</f>
        <v/>
      </c>
      <c r="AE379" s="51" t="str">
        <f aca="false">IF(A379="","",IFERROR(INDEX(Setup!$N$9:$N$14,MATCH(O379,Setup!$M$9:$M$14,0))&amp;" ","")&amp;IF(C379="","",TEXT(C379,"h:mm AM/PM")&amp;" ")&amp;D379&amp;IF(H379="",""," · "&amp;H379))</f>
        <v/>
      </c>
      <c r="AF379" s="51" t="str">
        <f aca="false">IF(OR(A379="",AA379=""),"",IF(AND(A379&gt;=Dashboard!$G$4,A379&lt;=Dashboard!$I$4),AA379+ROW()/10^9,""))</f>
        <v/>
      </c>
      <c r="AG379" s="51" t="str">
        <f aca="false">IF(A379="","",WEEKDAY(A379,2))</f>
        <v/>
      </c>
    </row>
    <row r="380" customFormat="false" ht="15" hidden="false" customHeight="false" outlineLevel="0" collapsed="false">
      <c r="A380" s="43"/>
      <c r="B380" s="11" t="str">
        <f aca="false">IF(A380="","",TEXT(A380,"ddd"))</f>
        <v/>
      </c>
      <c r="C380" s="44"/>
      <c r="D380" s="16"/>
      <c r="E380" s="16"/>
      <c r="F380" s="16"/>
      <c r="G380" s="16"/>
      <c r="H380" s="45"/>
      <c r="I380" s="45"/>
      <c r="J380" s="11" t="str">
        <f aca="false">IF(I380="","",LEN(I380))</f>
        <v/>
      </c>
      <c r="K380" s="16"/>
      <c r="L380" s="16"/>
      <c r="M380" s="11" t="str">
        <f aca="false">IF(L380="","",IFERROR(INDEX('Hashtag Bank'!$E$5:$E$104,MATCH(L380,'Hashtag Bank'!$B$5:$B$104,0)),""))</f>
        <v/>
      </c>
      <c r="N380" s="16"/>
      <c r="O380" s="16"/>
      <c r="P380" s="16"/>
      <c r="Q380" s="46" t="str">
        <f aca="true">IF(A380&amp;H380="","",TRIM(IF(AND(A380&lt;&gt;"",A380&lt;TODAY(),O380&lt;&gt;"Published",O380&lt;&gt;"Repurpose"),"⚠ Overdue ","")&amp;IF(AND(J380&lt;&gt;"",D380&lt;&gt;"",IFERROR(J380&gt;INDEX(Setup!$E$9:$E$18,MATCH(D380,Setup!$B$9:$B$18,0)),FALSE())),"✂ Caption too long ","")&amp;IF(AND(M380&lt;&gt;"",D380&lt;&gt;"",IFERROR(M380&gt;INDEX(Setup!$F$9:$F$18,MATCH(D380,Setup!$B$9:$B$18,0)),FALSE())),"# Too many tags","")))</f>
        <v/>
      </c>
      <c r="R380" s="16"/>
      <c r="S380" s="19"/>
      <c r="T380" s="19"/>
      <c r="U380" s="19"/>
      <c r="V380" s="19"/>
      <c r="W380" s="19"/>
      <c r="X380" s="19"/>
      <c r="Y380" s="19"/>
      <c r="Z380" s="47" t="str">
        <f aca="false">IF(COUNT(U380:X380)=0,"",SUM(U380:X380))</f>
        <v/>
      </c>
      <c r="AA380" s="48" t="str">
        <f aca="false">IF(OR(Z380="",N(T380)=0),"",Z380/T380)</f>
        <v/>
      </c>
      <c r="AB380" s="45"/>
      <c r="AC380" s="51" t="str">
        <f aca="false">IF(A380="","",A380+N(C380)+ROW()/10^7)</f>
        <v/>
      </c>
      <c r="AD380" s="51" t="str">
        <f aca="false">IF(A380="","",TEXT(A380,"0")&amp;"|"&amp;COUNTIFS('Content Log'!$A$5:$A$504,A380,'Content Log'!$AC$5:$AC$504,"&lt;="&amp;AC380))</f>
        <v/>
      </c>
      <c r="AE380" s="51" t="str">
        <f aca="false">IF(A380="","",IFERROR(INDEX(Setup!$N$9:$N$14,MATCH(O380,Setup!$M$9:$M$14,0))&amp;" ","")&amp;IF(C380="","",TEXT(C380,"h:mm AM/PM")&amp;" ")&amp;D380&amp;IF(H380="",""," · "&amp;H380))</f>
        <v/>
      </c>
      <c r="AF380" s="51" t="str">
        <f aca="false">IF(OR(A380="",AA380=""),"",IF(AND(A380&gt;=Dashboard!$G$4,A380&lt;=Dashboard!$I$4),AA380+ROW()/10^9,""))</f>
        <v/>
      </c>
      <c r="AG380" s="51" t="str">
        <f aca="false">IF(A380="","",WEEKDAY(A380,2))</f>
        <v/>
      </c>
    </row>
    <row r="381" customFormat="false" ht="15" hidden="false" customHeight="false" outlineLevel="0" collapsed="false">
      <c r="A381" s="43"/>
      <c r="B381" s="11" t="str">
        <f aca="false">IF(A381="","",TEXT(A381,"ddd"))</f>
        <v/>
      </c>
      <c r="C381" s="44"/>
      <c r="D381" s="16"/>
      <c r="E381" s="16"/>
      <c r="F381" s="16"/>
      <c r="G381" s="16"/>
      <c r="H381" s="45"/>
      <c r="I381" s="45"/>
      <c r="J381" s="11" t="str">
        <f aca="false">IF(I381="","",LEN(I381))</f>
        <v/>
      </c>
      <c r="K381" s="16"/>
      <c r="L381" s="16"/>
      <c r="M381" s="11" t="str">
        <f aca="false">IF(L381="","",IFERROR(INDEX('Hashtag Bank'!$E$5:$E$104,MATCH(L381,'Hashtag Bank'!$B$5:$B$104,0)),""))</f>
        <v/>
      </c>
      <c r="N381" s="16"/>
      <c r="O381" s="16"/>
      <c r="P381" s="16"/>
      <c r="Q381" s="46" t="str">
        <f aca="true">IF(A381&amp;H381="","",TRIM(IF(AND(A381&lt;&gt;"",A381&lt;TODAY(),O381&lt;&gt;"Published",O381&lt;&gt;"Repurpose"),"⚠ Overdue ","")&amp;IF(AND(J381&lt;&gt;"",D381&lt;&gt;"",IFERROR(J381&gt;INDEX(Setup!$E$9:$E$18,MATCH(D381,Setup!$B$9:$B$18,0)),FALSE())),"✂ Caption too long ","")&amp;IF(AND(M381&lt;&gt;"",D381&lt;&gt;"",IFERROR(M381&gt;INDEX(Setup!$F$9:$F$18,MATCH(D381,Setup!$B$9:$B$18,0)),FALSE())),"# Too many tags","")))</f>
        <v/>
      </c>
      <c r="R381" s="16"/>
      <c r="S381" s="19"/>
      <c r="T381" s="19"/>
      <c r="U381" s="19"/>
      <c r="V381" s="19"/>
      <c r="W381" s="19"/>
      <c r="X381" s="19"/>
      <c r="Y381" s="19"/>
      <c r="Z381" s="47" t="str">
        <f aca="false">IF(COUNT(U381:X381)=0,"",SUM(U381:X381))</f>
        <v/>
      </c>
      <c r="AA381" s="48" t="str">
        <f aca="false">IF(OR(Z381="",N(T381)=0),"",Z381/T381)</f>
        <v/>
      </c>
      <c r="AB381" s="45"/>
      <c r="AC381" s="51" t="str">
        <f aca="false">IF(A381="","",A381+N(C381)+ROW()/10^7)</f>
        <v/>
      </c>
      <c r="AD381" s="51" t="str">
        <f aca="false">IF(A381="","",TEXT(A381,"0")&amp;"|"&amp;COUNTIFS('Content Log'!$A$5:$A$504,A381,'Content Log'!$AC$5:$AC$504,"&lt;="&amp;AC381))</f>
        <v/>
      </c>
      <c r="AE381" s="51" t="str">
        <f aca="false">IF(A381="","",IFERROR(INDEX(Setup!$N$9:$N$14,MATCH(O381,Setup!$M$9:$M$14,0))&amp;" ","")&amp;IF(C381="","",TEXT(C381,"h:mm AM/PM")&amp;" ")&amp;D381&amp;IF(H381="",""," · "&amp;H381))</f>
        <v/>
      </c>
      <c r="AF381" s="51" t="str">
        <f aca="false">IF(OR(A381="",AA381=""),"",IF(AND(A381&gt;=Dashboard!$G$4,A381&lt;=Dashboard!$I$4),AA381+ROW()/10^9,""))</f>
        <v/>
      </c>
      <c r="AG381" s="51" t="str">
        <f aca="false">IF(A381="","",WEEKDAY(A381,2))</f>
        <v/>
      </c>
    </row>
    <row r="382" customFormat="false" ht="15" hidden="false" customHeight="false" outlineLevel="0" collapsed="false">
      <c r="A382" s="43"/>
      <c r="B382" s="11" t="str">
        <f aca="false">IF(A382="","",TEXT(A382,"ddd"))</f>
        <v/>
      </c>
      <c r="C382" s="44"/>
      <c r="D382" s="16"/>
      <c r="E382" s="16"/>
      <c r="F382" s="16"/>
      <c r="G382" s="16"/>
      <c r="H382" s="45"/>
      <c r="I382" s="45"/>
      <c r="J382" s="11" t="str">
        <f aca="false">IF(I382="","",LEN(I382))</f>
        <v/>
      </c>
      <c r="K382" s="16"/>
      <c r="L382" s="16"/>
      <c r="M382" s="11" t="str">
        <f aca="false">IF(L382="","",IFERROR(INDEX('Hashtag Bank'!$E$5:$E$104,MATCH(L382,'Hashtag Bank'!$B$5:$B$104,0)),""))</f>
        <v/>
      </c>
      <c r="N382" s="16"/>
      <c r="O382" s="16"/>
      <c r="P382" s="16"/>
      <c r="Q382" s="46" t="str">
        <f aca="true">IF(A382&amp;H382="","",TRIM(IF(AND(A382&lt;&gt;"",A382&lt;TODAY(),O382&lt;&gt;"Published",O382&lt;&gt;"Repurpose"),"⚠ Overdue ","")&amp;IF(AND(J382&lt;&gt;"",D382&lt;&gt;"",IFERROR(J382&gt;INDEX(Setup!$E$9:$E$18,MATCH(D382,Setup!$B$9:$B$18,0)),FALSE())),"✂ Caption too long ","")&amp;IF(AND(M382&lt;&gt;"",D382&lt;&gt;"",IFERROR(M382&gt;INDEX(Setup!$F$9:$F$18,MATCH(D382,Setup!$B$9:$B$18,0)),FALSE())),"# Too many tags","")))</f>
        <v/>
      </c>
      <c r="R382" s="16"/>
      <c r="S382" s="19"/>
      <c r="T382" s="19"/>
      <c r="U382" s="19"/>
      <c r="V382" s="19"/>
      <c r="W382" s="19"/>
      <c r="X382" s="19"/>
      <c r="Y382" s="19"/>
      <c r="Z382" s="47" t="str">
        <f aca="false">IF(COUNT(U382:X382)=0,"",SUM(U382:X382))</f>
        <v/>
      </c>
      <c r="AA382" s="48" t="str">
        <f aca="false">IF(OR(Z382="",N(T382)=0),"",Z382/T382)</f>
        <v/>
      </c>
      <c r="AB382" s="45"/>
      <c r="AC382" s="51" t="str">
        <f aca="false">IF(A382="","",A382+N(C382)+ROW()/10^7)</f>
        <v/>
      </c>
      <c r="AD382" s="51" t="str">
        <f aca="false">IF(A382="","",TEXT(A382,"0")&amp;"|"&amp;COUNTIFS('Content Log'!$A$5:$A$504,A382,'Content Log'!$AC$5:$AC$504,"&lt;="&amp;AC382))</f>
        <v/>
      </c>
      <c r="AE382" s="51" t="str">
        <f aca="false">IF(A382="","",IFERROR(INDEX(Setup!$N$9:$N$14,MATCH(O382,Setup!$M$9:$M$14,0))&amp;" ","")&amp;IF(C382="","",TEXT(C382,"h:mm AM/PM")&amp;" ")&amp;D382&amp;IF(H382="",""," · "&amp;H382))</f>
        <v/>
      </c>
      <c r="AF382" s="51" t="str">
        <f aca="false">IF(OR(A382="",AA382=""),"",IF(AND(A382&gt;=Dashboard!$G$4,A382&lt;=Dashboard!$I$4),AA382+ROW()/10^9,""))</f>
        <v/>
      </c>
      <c r="AG382" s="51" t="str">
        <f aca="false">IF(A382="","",WEEKDAY(A382,2))</f>
        <v/>
      </c>
    </row>
    <row r="383" customFormat="false" ht="15" hidden="false" customHeight="false" outlineLevel="0" collapsed="false">
      <c r="A383" s="43"/>
      <c r="B383" s="11" t="str">
        <f aca="false">IF(A383="","",TEXT(A383,"ddd"))</f>
        <v/>
      </c>
      <c r="C383" s="44"/>
      <c r="D383" s="16"/>
      <c r="E383" s="16"/>
      <c r="F383" s="16"/>
      <c r="G383" s="16"/>
      <c r="H383" s="45"/>
      <c r="I383" s="45"/>
      <c r="J383" s="11" t="str">
        <f aca="false">IF(I383="","",LEN(I383))</f>
        <v/>
      </c>
      <c r="K383" s="16"/>
      <c r="L383" s="16"/>
      <c r="M383" s="11" t="str">
        <f aca="false">IF(L383="","",IFERROR(INDEX('Hashtag Bank'!$E$5:$E$104,MATCH(L383,'Hashtag Bank'!$B$5:$B$104,0)),""))</f>
        <v/>
      </c>
      <c r="N383" s="16"/>
      <c r="O383" s="16"/>
      <c r="P383" s="16"/>
      <c r="Q383" s="46" t="str">
        <f aca="true">IF(A383&amp;H383="","",TRIM(IF(AND(A383&lt;&gt;"",A383&lt;TODAY(),O383&lt;&gt;"Published",O383&lt;&gt;"Repurpose"),"⚠ Overdue ","")&amp;IF(AND(J383&lt;&gt;"",D383&lt;&gt;"",IFERROR(J383&gt;INDEX(Setup!$E$9:$E$18,MATCH(D383,Setup!$B$9:$B$18,0)),FALSE())),"✂ Caption too long ","")&amp;IF(AND(M383&lt;&gt;"",D383&lt;&gt;"",IFERROR(M383&gt;INDEX(Setup!$F$9:$F$18,MATCH(D383,Setup!$B$9:$B$18,0)),FALSE())),"# Too many tags","")))</f>
        <v/>
      </c>
      <c r="R383" s="16"/>
      <c r="S383" s="19"/>
      <c r="T383" s="19"/>
      <c r="U383" s="19"/>
      <c r="V383" s="19"/>
      <c r="W383" s="19"/>
      <c r="X383" s="19"/>
      <c r="Y383" s="19"/>
      <c r="Z383" s="47" t="str">
        <f aca="false">IF(COUNT(U383:X383)=0,"",SUM(U383:X383))</f>
        <v/>
      </c>
      <c r="AA383" s="48" t="str">
        <f aca="false">IF(OR(Z383="",N(T383)=0),"",Z383/T383)</f>
        <v/>
      </c>
      <c r="AB383" s="45"/>
      <c r="AC383" s="51" t="str">
        <f aca="false">IF(A383="","",A383+N(C383)+ROW()/10^7)</f>
        <v/>
      </c>
      <c r="AD383" s="51" t="str">
        <f aca="false">IF(A383="","",TEXT(A383,"0")&amp;"|"&amp;COUNTIFS('Content Log'!$A$5:$A$504,A383,'Content Log'!$AC$5:$AC$504,"&lt;="&amp;AC383))</f>
        <v/>
      </c>
      <c r="AE383" s="51" t="str">
        <f aca="false">IF(A383="","",IFERROR(INDEX(Setup!$N$9:$N$14,MATCH(O383,Setup!$M$9:$M$14,0))&amp;" ","")&amp;IF(C383="","",TEXT(C383,"h:mm AM/PM")&amp;" ")&amp;D383&amp;IF(H383="",""," · "&amp;H383))</f>
        <v/>
      </c>
      <c r="AF383" s="51" t="str">
        <f aca="false">IF(OR(A383="",AA383=""),"",IF(AND(A383&gt;=Dashboard!$G$4,A383&lt;=Dashboard!$I$4),AA383+ROW()/10^9,""))</f>
        <v/>
      </c>
      <c r="AG383" s="51" t="str">
        <f aca="false">IF(A383="","",WEEKDAY(A383,2))</f>
        <v/>
      </c>
    </row>
    <row r="384" customFormat="false" ht="15" hidden="false" customHeight="false" outlineLevel="0" collapsed="false">
      <c r="A384" s="43"/>
      <c r="B384" s="11" t="str">
        <f aca="false">IF(A384="","",TEXT(A384,"ddd"))</f>
        <v/>
      </c>
      <c r="C384" s="44"/>
      <c r="D384" s="16"/>
      <c r="E384" s="16"/>
      <c r="F384" s="16"/>
      <c r="G384" s="16"/>
      <c r="H384" s="45"/>
      <c r="I384" s="45"/>
      <c r="J384" s="11" t="str">
        <f aca="false">IF(I384="","",LEN(I384))</f>
        <v/>
      </c>
      <c r="K384" s="16"/>
      <c r="L384" s="16"/>
      <c r="M384" s="11" t="str">
        <f aca="false">IF(L384="","",IFERROR(INDEX('Hashtag Bank'!$E$5:$E$104,MATCH(L384,'Hashtag Bank'!$B$5:$B$104,0)),""))</f>
        <v/>
      </c>
      <c r="N384" s="16"/>
      <c r="O384" s="16"/>
      <c r="P384" s="16"/>
      <c r="Q384" s="46" t="str">
        <f aca="true">IF(A384&amp;H384="","",TRIM(IF(AND(A384&lt;&gt;"",A384&lt;TODAY(),O384&lt;&gt;"Published",O384&lt;&gt;"Repurpose"),"⚠ Overdue ","")&amp;IF(AND(J384&lt;&gt;"",D384&lt;&gt;"",IFERROR(J384&gt;INDEX(Setup!$E$9:$E$18,MATCH(D384,Setup!$B$9:$B$18,0)),FALSE())),"✂ Caption too long ","")&amp;IF(AND(M384&lt;&gt;"",D384&lt;&gt;"",IFERROR(M384&gt;INDEX(Setup!$F$9:$F$18,MATCH(D384,Setup!$B$9:$B$18,0)),FALSE())),"# Too many tags","")))</f>
        <v/>
      </c>
      <c r="R384" s="16"/>
      <c r="S384" s="19"/>
      <c r="T384" s="19"/>
      <c r="U384" s="19"/>
      <c r="V384" s="19"/>
      <c r="W384" s="19"/>
      <c r="X384" s="19"/>
      <c r="Y384" s="19"/>
      <c r="Z384" s="47" t="str">
        <f aca="false">IF(COUNT(U384:X384)=0,"",SUM(U384:X384))</f>
        <v/>
      </c>
      <c r="AA384" s="48" t="str">
        <f aca="false">IF(OR(Z384="",N(T384)=0),"",Z384/T384)</f>
        <v/>
      </c>
      <c r="AB384" s="45"/>
      <c r="AC384" s="51" t="str">
        <f aca="false">IF(A384="","",A384+N(C384)+ROW()/10^7)</f>
        <v/>
      </c>
      <c r="AD384" s="51" t="str">
        <f aca="false">IF(A384="","",TEXT(A384,"0")&amp;"|"&amp;COUNTIFS('Content Log'!$A$5:$A$504,A384,'Content Log'!$AC$5:$AC$504,"&lt;="&amp;AC384))</f>
        <v/>
      </c>
      <c r="AE384" s="51" t="str">
        <f aca="false">IF(A384="","",IFERROR(INDEX(Setup!$N$9:$N$14,MATCH(O384,Setup!$M$9:$M$14,0))&amp;" ","")&amp;IF(C384="","",TEXT(C384,"h:mm AM/PM")&amp;" ")&amp;D384&amp;IF(H384="",""," · "&amp;H384))</f>
        <v/>
      </c>
      <c r="AF384" s="51" t="str">
        <f aca="false">IF(OR(A384="",AA384=""),"",IF(AND(A384&gt;=Dashboard!$G$4,A384&lt;=Dashboard!$I$4),AA384+ROW()/10^9,""))</f>
        <v/>
      </c>
      <c r="AG384" s="51" t="str">
        <f aca="false">IF(A384="","",WEEKDAY(A384,2))</f>
        <v/>
      </c>
    </row>
    <row r="385" customFormat="false" ht="15" hidden="false" customHeight="false" outlineLevel="0" collapsed="false">
      <c r="A385" s="43"/>
      <c r="B385" s="11" t="str">
        <f aca="false">IF(A385="","",TEXT(A385,"ddd"))</f>
        <v/>
      </c>
      <c r="C385" s="44"/>
      <c r="D385" s="16"/>
      <c r="E385" s="16"/>
      <c r="F385" s="16"/>
      <c r="G385" s="16"/>
      <c r="H385" s="45"/>
      <c r="I385" s="45"/>
      <c r="J385" s="11" t="str">
        <f aca="false">IF(I385="","",LEN(I385))</f>
        <v/>
      </c>
      <c r="K385" s="16"/>
      <c r="L385" s="16"/>
      <c r="M385" s="11" t="str">
        <f aca="false">IF(L385="","",IFERROR(INDEX('Hashtag Bank'!$E$5:$E$104,MATCH(L385,'Hashtag Bank'!$B$5:$B$104,0)),""))</f>
        <v/>
      </c>
      <c r="N385" s="16"/>
      <c r="O385" s="16"/>
      <c r="P385" s="16"/>
      <c r="Q385" s="46" t="str">
        <f aca="true">IF(A385&amp;H385="","",TRIM(IF(AND(A385&lt;&gt;"",A385&lt;TODAY(),O385&lt;&gt;"Published",O385&lt;&gt;"Repurpose"),"⚠ Overdue ","")&amp;IF(AND(J385&lt;&gt;"",D385&lt;&gt;"",IFERROR(J385&gt;INDEX(Setup!$E$9:$E$18,MATCH(D385,Setup!$B$9:$B$18,0)),FALSE())),"✂ Caption too long ","")&amp;IF(AND(M385&lt;&gt;"",D385&lt;&gt;"",IFERROR(M385&gt;INDEX(Setup!$F$9:$F$18,MATCH(D385,Setup!$B$9:$B$18,0)),FALSE())),"# Too many tags","")))</f>
        <v/>
      </c>
      <c r="R385" s="16"/>
      <c r="S385" s="19"/>
      <c r="T385" s="19"/>
      <c r="U385" s="19"/>
      <c r="V385" s="19"/>
      <c r="W385" s="19"/>
      <c r="X385" s="19"/>
      <c r="Y385" s="19"/>
      <c r="Z385" s="47" t="str">
        <f aca="false">IF(COUNT(U385:X385)=0,"",SUM(U385:X385))</f>
        <v/>
      </c>
      <c r="AA385" s="48" t="str">
        <f aca="false">IF(OR(Z385="",N(T385)=0),"",Z385/T385)</f>
        <v/>
      </c>
      <c r="AB385" s="45"/>
      <c r="AC385" s="51" t="str">
        <f aca="false">IF(A385="","",A385+N(C385)+ROW()/10^7)</f>
        <v/>
      </c>
      <c r="AD385" s="51" t="str">
        <f aca="false">IF(A385="","",TEXT(A385,"0")&amp;"|"&amp;COUNTIFS('Content Log'!$A$5:$A$504,A385,'Content Log'!$AC$5:$AC$504,"&lt;="&amp;AC385))</f>
        <v/>
      </c>
      <c r="AE385" s="51" t="str">
        <f aca="false">IF(A385="","",IFERROR(INDEX(Setup!$N$9:$N$14,MATCH(O385,Setup!$M$9:$M$14,0))&amp;" ","")&amp;IF(C385="","",TEXT(C385,"h:mm AM/PM")&amp;" ")&amp;D385&amp;IF(H385="",""," · "&amp;H385))</f>
        <v/>
      </c>
      <c r="AF385" s="51" t="str">
        <f aca="false">IF(OR(A385="",AA385=""),"",IF(AND(A385&gt;=Dashboard!$G$4,A385&lt;=Dashboard!$I$4),AA385+ROW()/10^9,""))</f>
        <v/>
      </c>
      <c r="AG385" s="51" t="str">
        <f aca="false">IF(A385="","",WEEKDAY(A385,2))</f>
        <v/>
      </c>
    </row>
    <row r="386" customFormat="false" ht="15" hidden="false" customHeight="false" outlineLevel="0" collapsed="false">
      <c r="A386" s="43"/>
      <c r="B386" s="11" t="str">
        <f aca="false">IF(A386="","",TEXT(A386,"ddd"))</f>
        <v/>
      </c>
      <c r="C386" s="44"/>
      <c r="D386" s="16"/>
      <c r="E386" s="16"/>
      <c r="F386" s="16"/>
      <c r="G386" s="16"/>
      <c r="H386" s="45"/>
      <c r="I386" s="45"/>
      <c r="J386" s="11" t="str">
        <f aca="false">IF(I386="","",LEN(I386))</f>
        <v/>
      </c>
      <c r="K386" s="16"/>
      <c r="L386" s="16"/>
      <c r="M386" s="11" t="str">
        <f aca="false">IF(L386="","",IFERROR(INDEX('Hashtag Bank'!$E$5:$E$104,MATCH(L386,'Hashtag Bank'!$B$5:$B$104,0)),""))</f>
        <v/>
      </c>
      <c r="N386" s="16"/>
      <c r="O386" s="16"/>
      <c r="P386" s="16"/>
      <c r="Q386" s="46" t="str">
        <f aca="true">IF(A386&amp;H386="","",TRIM(IF(AND(A386&lt;&gt;"",A386&lt;TODAY(),O386&lt;&gt;"Published",O386&lt;&gt;"Repurpose"),"⚠ Overdue ","")&amp;IF(AND(J386&lt;&gt;"",D386&lt;&gt;"",IFERROR(J386&gt;INDEX(Setup!$E$9:$E$18,MATCH(D386,Setup!$B$9:$B$18,0)),FALSE())),"✂ Caption too long ","")&amp;IF(AND(M386&lt;&gt;"",D386&lt;&gt;"",IFERROR(M386&gt;INDEX(Setup!$F$9:$F$18,MATCH(D386,Setup!$B$9:$B$18,0)),FALSE())),"# Too many tags","")))</f>
        <v/>
      </c>
      <c r="R386" s="16"/>
      <c r="S386" s="19"/>
      <c r="T386" s="19"/>
      <c r="U386" s="19"/>
      <c r="V386" s="19"/>
      <c r="W386" s="19"/>
      <c r="X386" s="19"/>
      <c r="Y386" s="19"/>
      <c r="Z386" s="47" t="str">
        <f aca="false">IF(COUNT(U386:X386)=0,"",SUM(U386:X386))</f>
        <v/>
      </c>
      <c r="AA386" s="48" t="str">
        <f aca="false">IF(OR(Z386="",N(T386)=0),"",Z386/T386)</f>
        <v/>
      </c>
      <c r="AB386" s="45"/>
      <c r="AC386" s="51" t="str">
        <f aca="false">IF(A386="","",A386+N(C386)+ROW()/10^7)</f>
        <v/>
      </c>
      <c r="AD386" s="51" t="str">
        <f aca="false">IF(A386="","",TEXT(A386,"0")&amp;"|"&amp;COUNTIFS('Content Log'!$A$5:$A$504,A386,'Content Log'!$AC$5:$AC$504,"&lt;="&amp;AC386))</f>
        <v/>
      </c>
      <c r="AE386" s="51" t="str">
        <f aca="false">IF(A386="","",IFERROR(INDEX(Setup!$N$9:$N$14,MATCH(O386,Setup!$M$9:$M$14,0))&amp;" ","")&amp;IF(C386="","",TEXT(C386,"h:mm AM/PM")&amp;" ")&amp;D386&amp;IF(H386="",""," · "&amp;H386))</f>
        <v/>
      </c>
      <c r="AF386" s="51" t="str">
        <f aca="false">IF(OR(A386="",AA386=""),"",IF(AND(A386&gt;=Dashboard!$G$4,A386&lt;=Dashboard!$I$4),AA386+ROW()/10^9,""))</f>
        <v/>
      </c>
      <c r="AG386" s="51" t="str">
        <f aca="false">IF(A386="","",WEEKDAY(A386,2))</f>
        <v/>
      </c>
    </row>
    <row r="387" customFormat="false" ht="15" hidden="false" customHeight="false" outlineLevel="0" collapsed="false">
      <c r="A387" s="43"/>
      <c r="B387" s="11" t="str">
        <f aca="false">IF(A387="","",TEXT(A387,"ddd"))</f>
        <v/>
      </c>
      <c r="C387" s="44"/>
      <c r="D387" s="16"/>
      <c r="E387" s="16"/>
      <c r="F387" s="16"/>
      <c r="G387" s="16"/>
      <c r="H387" s="45"/>
      <c r="I387" s="45"/>
      <c r="J387" s="11" t="str">
        <f aca="false">IF(I387="","",LEN(I387))</f>
        <v/>
      </c>
      <c r="K387" s="16"/>
      <c r="L387" s="16"/>
      <c r="M387" s="11" t="str">
        <f aca="false">IF(L387="","",IFERROR(INDEX('Hashtag Bank'!$E$5:$E$104,MATCH(L387,'Hashtag Bank'!$B$5:$B$104,0)),""))</f>
        <v/>
      </c>
      <c r="N387" s="16"/>
      <c r="O387" s="16"/>
      <c r="P387" s="16"/>
      <c r="Q387" s="46" t="str">
        <f aca="true">IF(A387&amp;H387="","",TRIM(IF(AND(A387&lt;&gt;"",A387&lt;TODAY(),O387&lt;&gt;"Published",O387&lt;&gt;"Repurpose"),"⚠ Overdue ","")&amp;IF(AND(J387&lt;&gt;"",D387&lt;&gt;"",IFERROR(J387&gt;INDEX(Setup!$E$9:$E$18,MATCH(D387,Setup!$B$9:$B$18,0)),FALSE())),"✂ Caption too long ","")&amp;IF(AND(M387&lt;&gt;"",D387&lt;&gt;"",IFERROR(M387&gt;INDEX(Setup!$F$9:$F$18,MATCH(D387,Setup!$B$9:$B$18,0)),FALSE())),"# Too many tags","")))</f>
        <v/>
      </c>
      <c r="R387" s="16"/>
      <c r="S387" s="19"/>
      <c r="T387" s="19"/>
      <c r="U387" s="19"/>
      <c r="V387" s="19"/>
      <c r="W387" s="19"/>
      <c r="X387" s="19"/>
      <c r="Y387" s="19"/>
      <c r="Z387" s="47" t="str">
        <f aca="false">IF(COUNT(U387:X387)=0,"",SUM(U387:X387))</f>
        <v/>
      </c>
      <c r="AA387" s="48" t="str">
        <f aca="false">IF(OR(Z387="",N(T387)=0),"",Z387/T387)</f>
        <v/>
      </c>
      <c r="AB387" s="45"/>
      <c r="AC387" s="51" t="str">
        <f aca="false">IF(A387="","",A387+N(C387)+ROW()/10^7)</f>
        <v/>
      </c>
      <c r="AD387" s="51" t="str">
        <f aca="false">IF(A387="","",TEXT(A387,"0")&amp;"|"&amp;COUNTIFS('Content Log'!$A$5:$A$504,A387,'Content Log'!$AC$5:$AC$504,"&lt;="&amp;AC387))</f>
        <v/>
      </c>
      <c r="AE387" s="51" t="str">
        <f aca="false">IF(A387="","",IFERROR(INDEX(Setup!$N$9:$N$14,MATCH(O387,Setup!$M$9:$M$14,0))&amp;" ","")&amp;IF(C387="","",TEXT(C387,"h:mm AM/PM")&amp;" ")&amp;D387&amp;IF(H387="",""," · "&amp;H387))</f>
        <v/>
      </c>
      <c r="AF387" s="51" t="str">
        <f aca="false">IF(OR(A387="",AA387=""),"",IF(AND(A387&gt;=Dashboard!$G$4,A387&lt;=Dashboard!$I$4),AA387+ROW()/10^9,""))</f>
        <v/>
      </c>
      <c r="AG387" s="51" t="str">
        <f aca="false">IF(A387="","",WEEKDAY(A387,2))</f>
        <v/>
      </c>
    </row>
    <row r="388" customFormat="false" ht="15" hidden="false" customHeight="false" outlineLevel="0" collapsed="false">
      <c r="A388" s="43"/>
      <c r="B388" s="11" t="str">
        <f aca="false">IF(A388="","",TEXT(A388,"ddd"))</f>
        <v/>
      </c>
      <c r="C388" s="44"/>
      <c r="D388" s="16"/>
      <c r="E388" s="16"/>
      <c r="F388" s="16"/>
      <c r="G388" s="16"/>
      <c r="H388" s="45"/>
      <c r="I388" s="45"/>
      <c r="J388" s="11" t="str">
        <f aca="false">IF(I388="","",LEN(I388))</f>
        <v/>
      </c>
      <c r="K388" s="16"/>
      <c r="L388" s="16"/>
      <c r="M388" s="11" t="str">
        <f aca="false">IF(L388="","",IFERROR(INDEX('Hashtag Bank'!$E$5:$E$104,MATCH(L388,'Hashtag Bank'!$B$5:$B$104,0)),""))</f>
        <v/>
      </c>
      <c r="N388" s="16"/>
      <c r="O388" s="16"/>
      <c r="P388" s="16"/>
      <c r="Q388" s="46" t="str">
        <f aca="true">IF(A388&amp;H388="","",TRIM(IF(AND(A388&lt;&gt;"",A388&lt;TODAY(),O388&lt;&gt;"Published",O388&lt;&gt;"Repurpose"),"⚠ Overdue ","")&amp;IF(AND(J388&lt;&gt;"",D388&lt;&gt;"",IFERROR(J388&gt;INDEX(Setup!$E$9:$E$18,MATCH(D388,Setup!$B$9:$B$18,0)),FALSE())),"✂ Caption too long ","")&amp;IF(AND(M388&lt;&gt;"",D388&lt;&gt;"",IFERROR(M388&gt;INDEX(Setup!$F$9:$F$18,MATCH(D388,Setup!$B$9:$B$18,0)),FALSE())),"# Too many tags","")))</f>
        <v/>
      </c>
      <c r="R388" s="16"/>
      <c r="S388" s="19"/>
      <c r="T388" s="19"/>
      <c r="U388" s="19"/>
      <c r="V388" s="19"/>
      <c r="W388" s="19"/>
      <c r="X388" s="19"/>
      <c r="Y388" s="19"/>
      <c r="Z388" s="47" t="str">
        <f aca="false">IF(COUNT(U388:X388)=0,"",SUM(U388:X388))</f>
        <v/>
      </c>
      <c r="AA388" s="48" t="str">
        <f aca="false">IF(OR(Z388="",N(T388)=0),"",Z388/T388)</f>
        <v/>
      </c>
      <c r="AB388" s="45"/>
      <c r="AC388" s="51" t="str">
        <f aca="false">IF(A388="","",A388+N(C388)+ROW()/10^7)</f>
        <v/>
      </c>
      <c r="AD388" s="51" t="str">
        <f aca="false">IF(A388="","",TEXT(A388,"0")&amp;"|"&amp;COUNTIFS('Content Log'!$A$5:$A$504,A388,'Content Log'!$AC$5:$AC$504,"&lt;="&amp;AC388))</f>
        <v/>
      </c>
      <c r="AE388" s="51" t="str">
        <f aca="false">IF(A388="","",IFERROR(INDEX(Setup!$N$9:$N$14,MATCH(O388,Setup!$M$9:$M$14,0))&amp;" ","")&amp;IF(C388="","",TEXT(C388,"h:mm AM/PM")&amp;" ")&amp;D388&amp;IF(H388="",""," · "&amp;H388))</f>
        <v/>
      </c>
      <c r="AF388" s="51" t="str">
        <f aca="false">IF(OR(A388="",AA388=""),"",IF(AND(A388&gt;=Dashboard!$G$4,A388&lt;=Dashboard!$I$4),AA388+ROW()/10^9,""))</f>
        <v/>
      </c>
      <c r="AG388" s="51" t="str">
        <f aca="false">IF(A388="","",WEEKDAY(A388,2))</f>
        <v/>
      </c>
    </row>
    <row r="389" customFormat="false" ht="15" hidden="false" customHeight="false" outlineLevel="0" collapsed="false">
      <c r="A389" s="43"/>
      <c r="B389" s="11" t="str">
        <f aca="false">IF(A389="","",TEXT(A389,"ddd"))</f>
        <v/>
      </c>
      <c r="C389" s="44"/>
      <c r="D389" s="16"/>
      <c r="E389" s="16"/>
      <c r="F389" s="16"/>
      <c r="G389" s="16"/>
      <c r="H389" s="45"/>
      <c r="I389" s="45"/>
      <c r="J389" s="11" t="str">
        <f aca="false">IF(I389="","",LEN(I389))</f>
        <v/>
      </c>
      <c r="K389" s="16"/>
      <c r="L389" s="16"/>
      <c r="M389" s="11" t="str">
        <f aca="false">IF(L389="","",IFERROR(INDEX('Hashtag Bank'!$E$5:$E$104,MATCH(L389,'Hashtag Bank'!$B$5:$B$104,0)),""))</f>
        <v/>
      </c>
      <c r="N389" s="16"/>
      <c r="O389" s="16"/>
      <c r="P389" s="16"/>
      <c r="Q389" s="46" t="str">
        <f aca="true">IF(A389&amp;H389="","",TRIM(IF(AND(A389&lt;&gt;"",A389&lt;TODAY(),O389&lt;&gt;"Published",O389&lt;&gt;"Repurpose"),"⚠ Overdue ","")&amp;IF(AND(J389&lt;&gt;"",D389&lt;&gt;"",IFERROR(J389&gt;INDEX(Setup!$E$9:$E$18,MATCH(D389,Setup!$B$9:$B$18,0)),FALSE())),"✂ Caption too long ","")&amp;IF(AND(M389&lt;&gt;"",D389&lt;&gt;"",IFERROR(M389&gt;INDEX(Setup!$F$9:$F$18,MATCH(D389,Setup!$B$9:$B$18,0)),FALSE())),"# Too many tags","")))</f>
        <v/>
      </c>
      <c r="R389" s="16"/>
      <c r="S389" s="19"/>
      <c r="T389" s="19"/>
      <c r="U389" s="19"/>
      <c r="V389" s="19"/>
      <c r="W389" s="19"/>
      <c r="X389" s="19"/>
      <c r="Y389" s="19"/>
      <c r="Z389" s="47" t="str">
        <f aca="false">IF(COUNT(U389:X389)=0,"",SUM(U389:X389))</f>
        <v/>
      </c>
      <c r="AA389" s="48" t="str">
        <f aca="false">IF(OR(Z389="",N(T389)=0),"",Z389/T389)</f>
        <v/>
      </c>
      <c r="AB389" s="45"/>
      <c r="AC389" s="51" t="str">
        <f aca="false">IF(A389="","",A389+N(C389)+ROW()/10^7)</f>
        <v/>
      </c>
      <c r="AD389" s="51" t="str">
        <f aca="false">IF(A389="","",TEXT(A389,"0")&amp;"|"&amp;COUNTIFS('Content Log'!$A$5:$A$504,A389,'Content Log'!$AC$5:$AC$504,"&lt;="&amp;AC389))</f>
        <v/>
      </c>
      <c r="AE389" s="51" t="str">
        <f aca="false">IF(A389="","",IFERROR(INDEX(Setup!$N$9:$N$14,MATCH(O389,Setup!$M$9:$M$14,0))&amp;" ","")&amp;IF(C389="","",TEXT(C389,"h:mm AM/PM")&amp;" ")&amp;D389&amp;IF(H389="",""," · "&amp;H389))</f>
        <v/>
      </c>
      <c r="AF389" s="51" t="str">
        <f aca="false">IF(OR(A389="",AA389=""),"",IF(AND(A389&gt;=Dashboard!$G$4,A389&lt;=Dashboard!$I$4),AA389+ROW()/10^9,""))</f>
        <v/>
      </c>
      <c r="AG389" s="51" t="str">
        <f aca="false">IF(A389="","",WEEKDAY(A389,2))</f>
        <v/>
      </c>
    </row>
    <row r="390" customFormat="false" ht="15" hidden="false" customHeight="false" outlineLevel="0" collapsed="false">
      <c r="A390" s="43"/>
      <c r="B390" s="11" t="str">
        <f aca="false">IF(A390="","",TEXT(A390,"ddd"))</f>
        <v/>
      </c>
      <c r="C390" s="44"/>
      <c r="D390" s="16"/>
      <c r="E390" s="16"/>
      <c r="F390" s="16"/>
      <c r="G390" s="16"/>
      <c r="H390" s="45"/>
      <c r="I390" s="45"/>
      <c r="J390" s="11" t="str">
        <f aca="false">IF(I390="","",LEN(I390))</f>
        <v/>
      </c>
      <c r="K390" s="16"/>
      <c r="L390" s="16"/>
      <c r="M390" s="11" t="str">
        <f aca="false">IF(L390="","",IFERROR(INDEX('Hashtag Bank'!$E$5:$E$104,MATCH(L390,'Hashtag Bank'!$B$5:$B$104,0)),""))</f>
        <v/>
      </c>
      <c r="N390" s="16"/>
      <c r="O390" s="16"/>
      <c r="P390" s="16"/>
      <c r="Q390" s="46" t="str">
        <f aca="true">IF(A390&amp;H390="","",TRIM(IF(AND(A390&lt;&gt;"",A390&lt;TODAY(),O390&lt;&gt;"Published",O390&lt;&gt;"Repurpose"),"⚠ Overdue ","")&amp;IF(AND(J390&lt;&gt;"",D390&lt;&gt;"",IFERROR(J390&gt;INDEX(Setup!$E$9:$E$18,MATCH(D390,Setup!$B$9:$B$18,0)),FALSE())),"✂ Caption too long ","")&amp;IF(AND(M390&lt;&gt;"",D390&lt;&gt;"",IFERROR(M390&gt;INDEX(Setup!$F$9:$F$18,MATCH(D390,Setup!$B$9:$B$18,0)),FALSE())),"# Too many tags","")))</f>
        <v/>
      </c>
      <c r="R390" s="16"/>
      <c r="S390" s="19"/>
      <c r="T390" s="19"/>
      <c r="U390" s="19"/>
      <c r="V390" s="19"/>
      <c r="W390" s="19"/>
      <c r="X390" s="19"/>
      <c r="Y390" s="19"/>
      <c r="Z390" s="47" t="str">
        <f aca="false">IF(COUNT(U390:X390)=0,"",SUM(U390:X390))</f>
        <v/>
      </c>
      <c r="AA390" s="48" t="str">
        <f aca="false">IF(OR(Z390="",N(T390)=0),"",Z390/T390)</f>
        <v/>
      </c>
      <c r="AB390" s="45"/>
      <c r="AC390" s="51" t="str">
        <f aca="false">IF(A390="","",A390+N(C390)+ROW()/10^7)</f>
        <v/>
      </c>
      <c r="AD390" s="51" t="str">
        <f aca="false">IF(A390="","",TEXT(A390,"0")&amp;"|"&amp;COUNTIFS('Content Log'!$A$5:$A$504,A390,'Content Log'!$AC$5:$AC$504,"&lt;="&amp;AC390))</f>
        <v/>
      </c>
      <c r="AE390" s="51" t="str">
        <f aca="false">IF(A390="","",IFERROR(INDEX(Setup!$N$9:$N$14,MATCH(O390,Setup!$M$9:$M$14,0))&amp;" ","")&amp;IF(C390="","",TEXT(C390,"h:mm AM/PM")&amp;" ")&amp;D390&amp;IF(H390="",""," · "&amp;H390))</f>
        <v/>
      </c>
      <c r="AF390" s="51" t="str">
        <f aca="false">IF(OR(A390="",AA390=""),"",IF(AND(A390&gt;=Dashboard!$G$4,A390&lt;=Dashboard!$I$4),AA390+ROW()/10^9,""))</f>
        <v/>
      </c>
      <c r="AG390" s="51" t="str">
        <f aca="false">IF(A390="","",WEEKDAY(A390,2))</f>
        <v/>
      </c>
    </row>
    <row r="391" customFormat="false" ht="15" hidden="false" customHeight="false" outlineLevel="0" collapsed="false">
      <c r="A391" s="43"/>
      <c r="B391" s="11" t="str">
        <f aca="false">IF(A391="","",TEXT(A391,"ddd"))</f>
        <v/>
      </c>
      <c r="C391" s="44"/>
      <c r="D391" s="16"/>
      <c r="E391" s="16"/>
      <c r="F391" s="16"/>
      <c r="G391" s="16"/>
      <c r="H391" s="45"/>
      <c r="I391" s="45"/>
      <c r="J391" s="11" t="str">
        <f aca="false">IF(I391="","",LEN(I391))</f>
        <v/>
      </c>
      <c r="K391" s="16"/>
      <c r="L391" s="16"/>
      <c r="M391" s="11" t="str">
        <f aca="false">IF(L391="","",IFERROR(INDEX('Hashtag Bank'!$E$5:$E$104,MATCH(L391,'Hashtag Bank'!$B$5:$B$104,0)),""))</f>
        <v/>
      </c>
      <c r="N391" s="16"/>
      <c r="O391" s="16"/>
      <c r="P391" s="16"/>
      <c r="Q391" s="46" t="str">
        <f aca="true">IF(A391&amp;H391="","",TRIM(IF(AND(A391&lt;&gt;"",A391&lt;TODAY(),O391&lt;&gt;"Published",O391&lt;&gt;"Repurpose"),"⚠ Overdue ","")&amp;IF(AND(J391&lt;&gt;"",D391&lt;&gt;"",IFERROR(J391&gt;INDEX(Setup!$E$9:$E$18,MATCH(D391,Setup!$B$9:$B$18,0)),FALSE())),"✂ Caption too long ","")&amp;IF(AND(M391&lt;&gt;"",D391&lt;&gt;"",IFERROR(M391&gt;INDEX(Setup!$F$9:$F$18,MATCH(D391,Setup!$B$9:$B$18,0)),FALSE())),"# Too many tags","")))</f>
        <v/>
      </c>
      <c r="R391" s="16"/>
      <c r="S391" s="19"/>
      <c r="T391" s="19"/>
      <c r="U391" s="19"/>
      <c r="V391" s="19"/>
      <c r="W391" s="19"/>
      <c r="X391" s="19"/>
      <c r="Y391" s="19"/>
      <c r="Z391" s="47" t="str">
        <f aca="false">IF(COUNT(U391:X391)=0,"",SUM(U391:X391))</f>
        <v/>
      </c>
      <c r="AA391" s="48" t="str">
        <f aca="false">IF(OR(Z391="",N(T391)=0),"",Z391/T391)</f>
        <v/>
      </c>
      <c r="AB391" s="45"/>
      <c r="AC391" s="51" t="str">
        <f aca="false">IF(A391="","",A391+N(C391)+ROW()/10^7)</f>
        <v/>
      </c>
      <c r="AD391" s="51" t="str">
        <f aca="false">IF(A391="","",TEXT(A391,"0")&amp;"|"&amp;COUNTIFS('Content Log'!$A$5:$A$504,A391,'Content Log'!$AC$5:$AC$504,"&lt;="&amp;AC391))</f>
        <v/>
      </c>
      <c r="AE391" s="51" t="str">
        <f aca="false">IF(A391="","",IFERROR(INDEX(Setup!$N$9:$N$14,MATCH(O391,Setup!$M$9:$M$14,0))&amp;" ","")&amp;IF(C391="","",TEXT(C391,"h:mm AM/PM")&amp;" ")&amp;D391&amp;IF(H391="",""," · "&amp;H391))</f>
        <v/>
      </c>
      <c r="AF391" s="51" t="str">
        <f aca="false">IF(OR(A391="",AA391=""),"",IF(AND(A391&gt;=Dashboard!$G$4,A391&lt;=Dashboard!$I$4),AA391+ROW()/10^9,""))</f>
        <v/>
      </c>
      <c r="AG391" s="51" t="str">
        <f aca="false">IF(A391="","",WEEKDAY(A391,2))</f>
        <v/>
      </c>
    </row>
    <row r="392" customFormat="false" ht="15" hidden="false" customHeight="false" outlineLevel="0" collapsed="false">
      <c r="A392" s="43"/>
      <c r="B392" s="11" t="str">
        <f aca="false">IF(A392="","",TEXT(A392,"ddd"))</f>
        <v/>
      </c>
      <c r="C392" s="44"/>
      <c r="D392" s="16"/>
      <c r="E392" s="16"/>
      <c r="F392" s="16"/>
      <c r="G392" s="16"/>
      <c r="H392" s="45"/>
      <c r="I392" s="45"/>
      <c r="J392" s="11" t="str">
        <f aca="false">IF(I392="","",LEN(I392))</f>
        <v/>
      </c>
      <c r="K392" s="16"/>
      <c r="L392" s="16"/>
      <c r="M392" s="11" t="str">
        <f aca="false">IF(L392="","",IFERROR(INDEX('Hashtag Bank'!$E$5:$E$104,MATCH(L392,'Hashtag Bank'!$B$5:$B$104,0)),""))</f>
        <v/>
      </c>
      <c r="N392" s="16"/>
      <c r="O392" s="16"/>
      <c r="P392" s="16"/>
      <c r="Q392" s="46" t="str">
        <f aca="true">IF(A392&amp;H392="","",TRIM(IF(AND(A392&lt;&gt;"",A392&lt;TODAY(),O392&lt;&gt;"Published",O392&lt;&gt;"Repurpose"),"⚠ Overdue ","")&amp;IF(AND(J392&lt;&gt;"",D392&lt;&gt;"",IFERROR(J392&gt;INDEX(Setup!$E$9:$E$18,MATCH(D392,Setup!$B$9:$B$18,0)),FALSE())),"✂ Caption too long ","")&amp;IF(AND(M392&lt;&gt;"",D392&lt;&gt;"",IFERROR(M392&gt;INDEX(Setup!$F$9:$F$18,MATCH(D392,Setup!$B$9:$B$18,0)),FALSE())),"# Too many tags","")))</f>
        <v/>
      </c>
      <c r="R392" s="16"/>
      <c r="S392" s="19"/>
      <c r="T392" s="19"/>
      <c r="U392" s="19"/>
      <c r="V392" s="19"/>
      <c r="W392" s="19"/>
      <c r="X392" s="19"/>
      <c r="Y392" s="19"/>
      <c r="Z392" s="47" t="str">
        <f aca="false">IF(COUNT(U392:X392)=0,"",SUM(U392:X392))</f>
        <v/>
      </c>
      <c r="AA392" s="48" t="str">
        <f aca="false">IF(OR(Z392="",N(T392)=0),"",Z392/T392)</f>
        <v/>
      </c>
      <c r="AB392" s="45"/>
      <c r="AC392" s="51" t="str">
        <f aca="false">IF(A392="","",A392+N(C392)+ROW()/10^7)</f>
        <v/>
      </c>
      <c r="AD392" s="51" t="str">
        <f aca="false">IF(A392="","",TEXT(A392,"0")&amp;"|"&amp;COUNTIFS('Content Log'!$A$5:$A$504,A392,'Content Log'!$AC$5:$AC$504,"&lt;="&amp;AC392))</f>
        <v/>
      </c>
      <c r="AE392" s="51" t="str">
        <f aca="false">IF(A392="","",IFERROR(INDEX(Setup!$N$9:$N$14,MATCH(O392,Setup!$M$9:$M$14,0))&amp;" ","")&amp;IF(C392="","",TEXT(C392,"h:mm AM/PM")&amp;" ")&amp;D392&amp;IF(H392="",""," · "&amp;H392))</f>
        <v/>
      </c>
      <c r="AF392" s="51" t="str">
        <f aca="false">IF(OR(A392="",AA392=""),"",IF(AND(A392&gt;=Dashboard!$G$4,A392&lt;=Dashboard!$I$4),AA392+ROW()/10^9,""))</f>
        <v/>
      </c>
      <c r="AG392" s="51" t="str">
        <f aca="false">IF(A392="","",WEEKDAY(A392,2))</f>
        <v/>
      </c>
    </row>
    <row r="393" customFormat="false" ht="15" hidden="false" customHeight="false" outlineLevel="0" collapsed="false">
      <c r="A393" s="43"/>
      <c r="B393" s="11" t="str">
        <f aca="false">IF(A393="","",TEXT(A393,"ddd"))</f>
        <v/>
      </c>
      <c r="C393" s="44"/>
      <c r="D393" s="16"/>
      <c r="E393" s="16"/>
      <c r="F393" s="16"/>
      <c r="G393" s="16"/>
      <c r="H393" s="45"/>
      <c r="I393" s="45"/>
      <c r="J393" s="11" t="str">
        <f aca="false">IF(I393="","",LEN(I393))</f>
        <v/>
      </c>
      <c r="K393" s="16"/>
      <c r="L393" s="16"/>
      <c r="M393" s="11" t="str">
        <f aca="false">IF(L393="","",IFERROR(INDEX('Hashtag Bank'!$E$5:$E$104,MATCH(L393,'Hashtag Bank'!$B$5:$B$104,0)),""))</f>
        <v/>
      </c>
      <c r="N393" s="16"/>
      <c r="O393" s="16"/>
      <c r="P393" s="16"/>
      <c r="Q393" s="46" t="str">
        <f aca="true">IF(A393&amp;H393="","",TRIM(IF(AND(A393&lt;&gt;"",A393&lt;TODAY(),O393&lt;&gt;"Published",O393&lt;&gt;"Repurpose"),"⚠ Overdue ","")&amp;IF(AND(J393&lt;&gt;"",D393&lt;&gt;"",IFERROR(J393&gt;INDEX(Setup!$E$9:$E$18,MATCH(D393,Setup!$B$9:$B$18,0)),FALSE())),"✂ Caption too long ","")&amp;IF(AND(M393&lt;&gt;"",D393&lt;&gt;"",IFERROR(M393&gt;INDEX(Setup!$F$9:$F$18,MATCH(D393,Setup!$B$9:$B$18,0)),FALSE())),"# Too many tags","")))</f>
        <v/>
      </c>
      <c r="R393" s="16"/>
      <c r="S393" s="19"/>
      <c r="T393" s="19"/>
      <c r="U393" s="19"/>
      <c r="V393" s="19"/>
      <c r="W393" s="19"/>
      <c r="X393" s="19"/>
      <c r="Y393" s="19"/>
      <c r="Z393" s="47" t="str">
        <f aca="false">IF(COUNT(U393:X393)=0,"",SUM(U393:X393))</f>
        <v/>
      </c>
      <c r="AA393" s="48" t="str">
        <f aca="false">IF(OR(Z393="",N(T393)=0),"",Z393/T393)</f>
        <v/>
      </c>
      <c r="AB393" s="45"/>
      <c r="AC393" s="51" t="str">
        <f aca="false">IF(A393="","",A393+N(C393)+ROW()/10^7)</f>
        <v/>
      </c>
      <c r="AD393" s="51" t="str">
        <f aca="false">IF(A393="","",TEXT(A393,"0")&amp;"|"&amp;COUNTIFS('Content Log'!$A$5:$A$504,A393,'Content Log'!$AC$5:$AC$504,"&lt;="&amp;AC393))</f>
        <v/>
      </c>
      <c r="AE393" s="51" t="str">
        <f aca="false">IF(A393="","",IFERROR(INDEX(Setup!$N$9:$N$14,MATCH(O393,Setup!$M$9:$M$14,0))&amp;" ","")&amp;IF(C393="","",TEXT(C393,"h:mm AM/PM")&amp;" ")&amp;D393&amp;IF(H393="",""," · "&amp;H393))</f>
        <v/>
      </c>
      <c r="AF393" s="51" t="str">
        <f aca="false">IF(OR(A393="",AA393=""),"",IF(AND(A393&gt;=Dashboard!$G$4,A393&lt;=Dashboard!$I$4),AA393+ROW()/10^9,""))</f>
        <v/>
      </c>
      <c r="AG393" s="51" t="str">
        <f aca="false">IF(A393="","",WEEKDAY(A393,2))</f>
        <v/>
      </c>
    </row>
    <row r="394" customFormat="false" ht="15" hidden="false" customHeight="false" outlineLevel="0" collapsed="false">
      <c r="A394" s="43"/>
      <c r="B394" s="11" t="str">
        <f aca="false">IF(A394="","",TEXT(A394,"ddd"))</f>
        <v/>
      </c>
      <c r="C394" s="44"/>
      <c r="D394" s="16"/>
      <c r="E394" s="16"/>
      <c r="F394" s="16"/>
      <c r="G394" s="16"/>
      <c r="H394" s="45"/>
      <c r="I394" s="45"/>
      <c r="J394" s="11" t="str">
        <f aca="false">IF(I394="","",LEN(I394))</f>
        <v/>
      </c>
      <c r="K394" s="16"/>
      <c r="L394" s="16"/>
      <c r="M394" s="11" t="str">
        <f aca="false">IF(L394="","",IFERROR(INDEX('Hashtag Bank'!$E$5:$E$104,MATCH(L394,'Hashtag Bank'!$B$5:$B$104,0)),""))</f>
        <v/>
      </c>
      <c r="N394" s="16"/>
      <c r="O394" s="16"/>
      <c r="P394" s="16"/>
      <c r="Q394" s="46" t="str">
        <f aca="true">IF(A394&amp;H394="","",TRIM(IF(AND(A394&lt;&gt;"",A394&lt;TODAY(),O394&lt;&gt;"Published",O394&lt;&gt;"Repurpose"),"⚠ Overdue ","")&amp;IF(AND(J394&lt;&gt;"",D394&lt;&gt;"",IFERROR(J394&gt;INDEX(Setup!$E$9:$E$18,MATCH(D394,Setup!$B$9:$B$18,0)),FALSE())),"✂ Caption too long ","")&amp;IF(AND(M394&lt;&gt;"",D394&lt;&gt;"",IFERROR(M394&gt;INDEX(Setup!$F$9:$F$18,MATCH(D394,Setup!$B$9:$B$18,0)),FALSE())),"# Too many tags","")))</f>
        <v/>
      </c>
      <c r="R394" s="16"/>
      <c r="S394" s="19"/>
      <c r="T394" s="19"/>
      <c r="U394" s="19"/>
      <c r="V394" s="19"/>
      <c r="W394" s="19"/>
      <c r="X394" s="19"/>
      <c r="Y394" s="19"/>
      <c r="Z394" s="47" t="str">
        <f aca="false">IF(COUNT(U394:X394)=0,"",SUM(U394:X394))</f>
        <v/>
      </c>
      <c r="AA394" s="48" t="str">
        <f aca="false">IF(OR(Z394="",N(T394)=0),"",Z394/T394)</f>
        <v/>
      </c>
      <c r="AB394" s="45"/>
      <c r="AC394" s="51" t="str">
        <f aca="false">IF(A394="","",A394+N(C394)+ROW()/10^7)</f>
        <v/>
      </c>
      <c r="AD394" s="51" t="str">
        <f aca="false">IF(A394="","",TEXT(A394,"0")&amp;"|"&amp;COUNTIFS('Content Log'!$A$5:$A$504,A394,'Content Log'!$AC$5:$AC$504,"&lt;="&amp;AC394))</f>
        <v/>
      </c>
      <c r="AE394" s="51" t="str">
        <f aca="false">IF(A394="","",IFERROR(INDEX(Setup!$N$9:$N$14,MATCH(O394,Setup!$M$9:$M$14,0))&amp;" ","")&amp;IF(C394="","",TEXT(C394,"h:mm AM/PM")&amp;" ")&amp;D394&amp;IF(H394="",""," · "&amp;H394))</f>
        <v/>
      </c>
      <c r="AF394" s="51" t="str">
        <f aca="false">IF(OR(A394="",AA394=""),"",IF(AND(A394&gt;=Dashboard!$G$4,A394&lt;=Dashboard!$I$4),AA394+ROW()/10^9,""))</f>
        <v/>
      </c>
      <c r="AG394" s="51" t="str">
        <f aca="false">IF(A394="","",WEEKDAY(A394,2))</f>
        <v/>
      </c>
    </row>
    <row r="395" customFormat="false" ht="15" hidden="false" customHeight="false" outlineLevel="0" collapsed="false">
      <c r="A395" s="43"/>
      <c r="B395" s="11" t="str">
        <f aca="false">IF(A395="","",TEXT(A395,"ddd"))</f>
        <v/>
      </c>
      <c r="C395" s="44"/>
      <c r="D395" s="16"/>
      <c r="E395" s="16"/>
      <c r="F395" s="16"/>
      <c r="G395" s="16"/>
      <c r="H395" s="45"/>
      <c r="I395" s="45"/>
      <c r="J395" s="11" t="str">
        <f aca="false">IF(I395="","",LEN(I395))</f>
        <v/>
      </c>
      <c r="K395" s="16"/>
      <c r="L395" s="16"/>
      <c r="M395" s="11" t="str">
        <f aca="false">IF(L395="","",IFERROR(INDEX('Hashtag Bank'!$E$5:$E$104,MATCH(L395,'Hashtag Bank'!$B$5:$B$104,0)),""))</f>
        <v/>
      </c>
      <c r="N395" s="16"/>
      <c r="O395" s="16"/>
      <c r="P395" s="16"/>
      <c r="Q395" s="46" t="str">
        <f aca="true">IF(A395&amp;H395="","",TRIM(IF(AND(A395&lt;&gt;"",A395&lt;TODAY(),O395&lt;&gt;"Published",O395&lt;&gt;"Repurpose"),"⚠ Overdue ","")&amp;IF(AND(J395&lt;&gt;"",D395&lt;&gt;"",IFERROR(J395&gt;INDEX(Setup!$E$9:$E$18,MATCH(D395,Setup!$B$9:$B$18,0)),FALSE())),"✂ Caption too long ","")&amp;IF(AND(M395&lt;&gt;"",D395&lt;&gt;"",IFERROR(M395&gt;INDEX(Setup!$F$9:$F$18,MATCH(D395,Setup!$B$9:$B$18,0)),FALSE())),"# Too many tags","")))</f>
        <v/>
      </c>
      <c r="R395" s="16"/>
      <c r="S395" s="19"/>
      <c r="T395" s="19"/>
      <c r="U395" s="19"/>
      <c r="V395" s="19"/>
      <c r="W395" s="19"/>
      <c r="X395" s="19"/>
      <c r="Y395" s="19"/>
      <c r="Z395" s="47" t="str">
        <f aca="false">IF(COUNT(U395:X395)=0,"",SUM(U395:X395))</f>
        <v/>
      </c>
      <c r="AA395" s="48" t="str">
        <f aca="false">IF(OR(Z395="",N(T395)=0),"",Z395/T395)</f>
        <v/>
      </c>
      <c r="AB395" s="45"/>
      <c r="AC395" s="51" t="str">
        <f aca="false">IF(A395="","",A395+N(C395)+ROW()/10^7)</f>
        <v/>
      </c>
      <c r="AD395" s="51" t="str">
        <f aca="false">IF(A395="","",TEXT(A395,"0")&amp;"|"&amp;COUNTIFS('Content Log'!$A$5:$A$504,A395,'Content Log'!$AC$5:$AC$504,"&lt;="&amp;AC395))</f>
        <v/>
      </c>
      <c r="AE395" s="51" t="str">
        <f aca="false">IF(A395="","",IFERROR(INDEX(Setup!$N$9:$N$14,MATCH(O395,Setup!$M$9:$M$14,0))&amp;" ","")&amp;IF(C395="","",TEXT(C395,"h:mm AM/PM")&amp;" ")&amp;D395&amp;IF(H395="",""," · "&amp;H395))</f>
        <v/>
      </c>
      <c r="AF395" s="51" t="str">
        <f aca="false">IF(OR(A395="",AA395=""),"",IF(AND(A395&gt;=Dashboard!$G$4,A395&lt;=Dashboard!$I$4),AA395+ROW()/10^9,""))</f>
        <v/>
      </c>
      <c r="AG395" s="51" t="str">
        <f aca="false">IF(A395="","",WEEKDAY(A395,2))</f>
        <v/>
      </c>
    </row>
    <row r="396" customFormat="false" ht="15" hidden="false" customHeight="false" outlineLevel="0" collapsed="false">
      <c r="A396" s="43"/>
      <c r="B396" s="11" t="str">
        <f aca="false">IF(A396="","",TEXT(A396,"ddd"))</f>
        <v/>
      </c>
      <c r="C396" s="44"/>
      <c r="D396" s="16"/>
      <c r="E396" s="16"/>
      <c r="F396" s="16"/>
      <c r="G396" s="16"/>
      <c r="H396" s="45"/>
      <c r="I396" s="45"/>
      <c r="J396" s="11" t="str">
        <f aca="false">IF(I396="","",LEN(I396))</f>
        <v/>
      </c>
      <c r="K396" s="16"/>
      <c r="L396" s="16"/>
      <c r="M396" s="11" t="str">
        <f aca="false">IF(L396="","",IFERROR(INDEX('Hashtag Bank'!$E$5:$E$104,MATCH(L396,'Hashtag Bank'!$B$5:$B$104,0)),""))</f>
        <v/>
      </c>
      <c r="N396" s="16"/>
      <c r="O396" s="16"/>
      <c r="P396" s="16"/>
      <c r="Q396" s="46" t="str">
        <f aca="true">IF(A396&amp;H396="","",TRIM(IF(AND(A396&lt;&gt;"",A396&lt;TODAY(),O396&lt;&gt;"Published",O396&lt;&gt;"Repurpose"),"⚠ Overdue ","")&amp;IF(AND(J396&lt;&gt;"",D396&lt;&gt;"",IFERROR(J396&gt;INDEX(Setup!$E$9:$E$18,MATCH(D396,Setup!$B$9:$B$18,0)),FALSE())),"✂ Caption too long ","")&amp;IF(AND(M396&lt;&gt;"",D396&lt;&gt;"",IFERROR(M396&gt;INDEX(Setup!$F$9:$F$18,MATCH(D396,Setup!$B$9:$B$18,0)),FALSE())),"# Too many tags","")))</f>
        <v/>
      </c>
      <c r="R396" s="16"/>
      <c r="S396" s="19"/>
      <c r="T396" s="19"/>
      <c r="U396" s="19"/>
      <c r="V396" s="19"/>
      <c r="W396" s="19"/>
      <c r="X396" s="19"/>
      <c r="Y396" s="19"/>
      <c r="Z396" s="47" t="str">
        <f aca="false">IF(COUNT(U396:X396)=0,"",SUM(U396:X396))</f>
        <v/>
      </c>
      <c r="AA396" s="48" t="str">
        <f aca="false">IF(OR(Z396="",N(T396)=0),"",Z396/T396)</f>
        <v/>
      </c>
      <c r="AB396" s="45"/>
      <c r="AC396" s="51" t="str">
        <f aca="false">IF(A396="","",A396+N(C396)+ROW()/10^7)</f>
        <v/>
      </c>
      <c r="AD396" s="51" t="str">
        <f aca="false">IF(A396="","",TEXT(A396,"0")&amp;"|"&amp;COUNTIFS('Content Log'!$A$5:$A$504,A396,'Content Log'!$AC$5:$AC$504,"&lt;="&amp;AC396))</f>
        <v/>
      </c>
      <c r="AE396" s="51" t="str">
        <f aca="false">IF(A396="","",IFERROR(INDEX(Setup!$N$9:$N$14,MATCH(O396,Setup!$M$9:$M$14,0))&amp;" ","")&amp;IF(C396="","",TEXT(C396,"h:mm AM/PM")&amp;" ")&amp;D396&amp;IF(H396="",""," · "&amp;H396))</f>
        <v/>
      </c>
      <c r="AF396" s="51" t="str">
        <f aca="false">IF(OR(A396="",AA396=""),"",IF(AND(A396&gt;=Dashboard!$G$4,A396&lt;=Dashboard!$I$4),AA396+ROW()/10^9,""))</f>
        <v/>
      </c>
      <c r="AG396" s="51" t="str">
        <f aca="false">IF(A396="","",WEEKDAY(A396,2))</f>
        <v/>
      </c>
    </row>
    <row r="397" customFormat="false" ht="15" hidden="false" customHeight="false" outlineLevel="0" collapsed="false">
      <c r="A397" s="43"/>
      <c r="B397" s="11" t="str">
        <f aca="false">IF(A397="","",TEXT(A397,"ddd"))</f>
        <v/>
      </c>
      <c r="C397" s="44"/>
      <c r="D397" s="16"/>
      <c r="E397" s="16"/>
      <c r="F397" s="16"/>
      <c r="G397" s="16"/>
      <c r="H397" s="45"/>
      <c r="I397" s="45"/>
      <c r="J397" s="11" t="str">
        <f aca="false">IF(I397="","",LEN(I397))</f>
        <v/>
      </c>
      <c r="K397" s="16"/>
      <c r="L397" s="16"/>
      <c r="M397" s="11" t="str">
        <f aca="false">IF(L397="","",IFERROR(INDEX('Hashtag Bank'!$E$5:$E$104,MATCH(L397,'Hashtag Bank'!$B$5:$B$104,0)),""))</f>
        <v/>
      </c>
      <c r="N397" s="16"/>
      <c r="O397" s="16"/>
      <c r="P397" s="16"/>
      <c r="Q397" s="46" t="str">
        <f aca="true">IF(A397&amp;H397="","",TRIM(IF(AND(A397&lt;&gt;"",A397&lt;TODAY(),O397&lt;&gt;"Published",O397&lt;&gt;"Repurpose"),"⚠ Overdue ","")&amp;IF(AND(J397&lt;&gt;"",D397&lt;&gt;"",IFERROR(J397&gt;INDEX(Setup!$E$9:$E$18,MATCH(D397,Setup!$B$9:$B$18,0)),FALSE())),"✂ Caption too long ","")&amp;IF(AND(M397&lt;&gt;"",D397&lt;&gt;"",IFERROR(M397&gt;INDEX(Setup!$F$9:$F$18,MATCH(D397,Setup!$B$9:$B$18,0)),FALSE())),"# Too many tags","")))</f>
        <v/>
      </c>
      <c r="R397" s="16"/>
      <c r="S397" s="19"/>
      <c r="T397" s="19"/>
      <c r="U397" s="19"/>
      <c r="V397" s="19"/>
      <c r="W397" s="19"/>
      <c r="X397" s="19"/>
      <c r="Y397" s="19"/>
      <c r="Z397" s="47" t="str">
        <f aca="false">IF(COUNT(U397:X397)=0,"",SUM(U397:X397))</f>
        <v/>
      </c>
      <c r="AA397" s="48" t="str">
        <f aca="false">IF(OR(Z397="",N(T397)=0),"",Z397/T397)</f>
        <v/>
      </c>
      <c r="AB397" s="45"/>
      <c r="AC397" s="51" t="str">
        <f aca="false">IF(A397="","",A397+N(C397)+ROW()/10^7)</f>
        <v/>
      </c>
      <c r="AD397" s="51" t="str">
        <f aca="false">IF(A397="","",TEXT(A397,"0")&amp;"|"&amp;COUNTIFS('Content Log'!$A$5:$A$504,A397,'Content Log'!$AC$5:$AC$504,"&lt;="&amp;AC397))</f>
        <v/>
      </c>
      <c r="AE397" s="51" t="str">
        <f aca="false">IF(A397="","",IFERROR(INDEX(Setup!$N$9:$N$14,MATCH(O397,Setup!$M$9:$M$14,0))&amp;" ","")&amp;IF(C397="","",TEXT(C397,"h:mm AM/PM")&amp;" ")&amp;D397&amp;IF(H397="",""," · "&amp;H397))</f>
        <v/>
      </c>
      <c r="AF397" s="51" t="str">
        <f aca="false">IF(OR(A397="",AA397=""),"",IF(AND(A397&gt;=Dashboard!$G$4,A397&lt;=Dashboard!$I$4),AA397+ROW()/10^9,""))</f>
        <v/>
      </c>
      <c r="AG397" s="51" t="str">
        <f aca="false">IF(A397="","",WEEKDAY(A397,2))</f>
        <v/>
      </c>
    </row>
    <row r="398" customFormat="false" ht="15" hidden="false" customHeight="false" outlineLevel="0" collapsed="false">
      <c r="A398" s="43"/>
      <c r="B398" s="11" t="str">
        <f aca="false">IF(A398="","",TEXT(A398,"ddd"))</f>
        <v/>
      </c>
      <c r="C398" s="44"/>
      <c r="D398" s="16"/>
      <c r="E398" s="16"/>
      <c r="F398" s="16"/>
      <c r="G398" s="16"/>
      <c r="H398" s="45"/>
      <c r="I398" s="45"/>
      <c r="J398" s="11" t="str">
        <f aca="false">IF(I398="","",LEN(I398))</f>
        <v/>
      </c>
      <c r="K398" s="16"/>
      <c r="L398" s="16"/>
      <c r="M398" s="11" t="str">
        <f aca="false">IF(L398="","",IFERROR(INDEX('Hashtag Bank'!$E$5:$E$104,MATCH(L398,'Hashtag Bank'!$B$5:$B$104,0)),""))</f>
        <v/>
      </c>
      <c r="N398" s="16"/>
      <c r="O398" s="16"/>
      <c r="P398" s="16"/>
      <c r="Q398" s="46" t="str">
        <f aca="true">IF(A398&amp;H398="","",TRIM(IF(AND(A398&lt;&gt;"",A398&lt;TODAY(),O398&lt;&gt;"Published",O398&lt;&gt;"Repurpose"),"⚠ Overdue ","")&amp;IF(AND(J398&lt;&gt;"",D398&lt;&gt;"",IFERROR(J398&gt;INDEX(Setup!$E$9:$E$18,MATCH(D398,Setup!$B$9:$B$18,0)),FALSE())),"✂ Caption too long ","")&amp;IF(AND(M398&lt;&gt;"",D398&lt;&gt;"",IFERROR(M398&gt;INDEX(Setup!$F$9:$F$18,MATCH(D398,Setup!$B$9:$B$18,0)),FALSE())),"# Too many tags","")))</f>
        <v/>
      </c>
      <c r="R398" s="16"/>
      <c r="S398" s="19"/>
      <c r="T398" s="19"/>
      <c r="U398" s="19"/>
      <c r="V398" s="19"/>
      <c r="W398" s="19"/>
      <c r="X398" s="19"/>
      <c r="Y398" s="19"/>
      <c r="Z398" s="47" t="str">
        <f aca="false">IF(COUNT(U398:X398)=0,"",SUM(U398:X398))</f>
        <v/>
      </c>
      <c r="AA398" s="48" t="str">
        <f aca="false">IF(OR(Z398="",N(T398)=0),"",Z398/T398)</f>
        <v/>
      </c>
      <c r="AB398" s="45"/>
      <c r="AC398" s="51" t="str">
        <f aca="false">IF(A398="","",A398+N(C398)+ROW()/10^7)</f>
        <v/>
      </c>
      <c r="AD398" s="51" t="str">
        <f aca="false">IF(A398="","",TEXT(A398,"0")&amp;"|"&amp;COUNTIFS('Content Log'!$A$5:$A$504,A398,'Content Log'!$AC$5:$AC$504,"&lt;="&amp;AC398))</f>
        <v/>
      </c>
      <c r="AE398" s="51" t="str">
        <f aca="false">IF(A398="","",IFERROR(INDEX(Setup!$N$9:$N$14,MATCH(O398,Setup!$M$9:$M$14,0))&amp;" ","")&amp;IF(C398="","",TEXT(C398,"h:mm AM/PM")&amp;" ")&amp;D398&amp;IF(H398="",""," · "&amp;H398))</f>
        <v/>
      </c>
      <c r="AF398" s="51" t="str">
        <f aca="false">IF(OR(A398="",AA398=""),"",IF(AND(A398&gt;=Dashboard!$G$4,A398&lt;=Dashboard!$I$4),AA398+ROW()/10^9,""))</f>
        <v/>
      </c>
      <c r="AG398" s="51" t="str">
        <f aca="false">IF(A398="","",WEEKDAY(A398,2))</f>
        <v/>
      </c>
    </row>
    <row r="399" customFormat="false" ht="15" hidden="false" customHeight="false" outlineLevel="0" collapsed="false">
      <c r="A399" s="43"/>
      <c r="B399" s="11" t="str">
        <f aca="false">IF(A399="","",TEXT(A399,"ddd"))</f>
        <v/>
      </c>
      <c r="C399" s="44"/>
      <c r="D399" s="16"/>
      <c r="E399" s="16"/>
      <c r="F399" s="16"/>
      <c r="G399" s="16"/>
      <c r="H399" s="45"/>
      <c r="I399" s="45"/>
      <c r="J399" s="11" t="str">
        <f aca="false">IF(I399="","",LEN(I399))</f>
        <v/>
      </c>
      <c r="K399" s="16"/>
      <c r="L399" s="16"/>
      <c r="M399" s="11" t="str">
        <f aca="false">IF(L399="","",IFERROR(INDEX('Hashtag Bank'!$E$5:$E$104,MATCH(L399,'Hashtag Bank'!$B$5:$B$104,0)),""))</f>
        <v/>
      </c>
      <c r="N399" s="16"/>
      <c r="O399" s="16"/>
      <c r="P399" s="16"/>
      <c r="Q399" s="46" t="str">
        <f aca="true">IF(A399&amp;H399="","",TRIM(IF(AND(A399&lt;&gt;"",A399&lt;TODAY(),O399&lt;&gt;"Published",O399&lt;&gt;"Repurpose"),"⚠ Overdue ","")&amp;IF(AND(J399&lt;&gt;"",D399&lt;&gt;"",IFERROR(J399&gt;INDEX(Setup!$E$9:$E$18,MATCH(D399,Setup!$B$9:$B$18,0)),FALSE())),"✂ Caption too long ","")&amp;IF(AND(M399&lt;&gt;"",D399&lt;&gt;"",IFERROR(M399&gt;INDEX(Setup!$F$9:$F$18,MATCH(D399,Setup!$B$9:$B$18,0)),FALSE())),"# Too many tags","")))</f>
        <v/>
      </c>
      <c r="R399" s="16"/>
      <c r="S399" s="19"/>
      <c r="T399" s="19"/>
      <c r="U399" s="19"/>
      <c r="V399" s="19"/>
      <c r="W399" s="19"/>
      <c r="X399" s="19"/>
      <c r="Y399" s="19"/>
      <c r="Z399" s="47" t="str">
        <f aca="false">IF(COUNT(U399:X399)=0,"",SUM(U399:X399))</f>
        <v/>
      </c>
      <c r="AA399" s="48" t="str">
        <f aca="false">IF(OR(Z399="",N(T399)=0),"",Z399/T399)</f>
        <v/>
      </c>
      <c r="AB399" s="45"/>
      <c r="AC399" s="51" t="str">
        <f aca="false">IF(A399="","",A399+N(C399)+ROW()/10^7)</f>
        <v/>
      </c>
      <c r="AD399" s="51" t="str">
        <f aca="false">IF(A399="","",TEXT(A399,"0")&amp;"|"&amp;COUNTIFS('Content Log'!$A$5:$A$504,A399,'Content Log'!$AC$5:$AC$504,"&lt;="&amp;AC399))</f>
        <v/>
      </c>
      <c r="AE399" s="51" t="str">
        <f aca="false">IF(A399="","",IFERROR(INDEX(Setup!$N$9:$N$14,MATCH(O399,Setup!$M$9:$M$14,0))&amp;" ","")&amp;IF(C399="","",TEXT(C399,"h:mm AM/PM")&amp;" ")&amp;D399&amp;IF(H399="",""," · "&amp;H399))</f>
        <v/>
      </c>
      <c r="AF399" s="51" t="str">
        <f aca="false">IF(OR(A399="",AA399=""),"",IF(AND(A399&gt;=Dashboard!$G$4,A399&lt;=Dashboard!$I$4),AA399+ROW()/10^9,""))</f>
        <v/>
      </c>
      <c r="AG399" s="51" t="str">
        <f aca="false">IF(A399="","",WEEKDAY(A399,2))</f>
        <v/>
      </c>
    </row>
    <row r="400" customFormat="false" ht="15" hidden="false" customHeight="false" outlineLevel="0" collapsed="false">
      <c r="A400" s="43"/>
      <c r="B400" s="11" t="str">
        <f aca="false">IF(A400="","",TEXT(A400,"ddd"))</f>
        <v/>
      </c>
      <c r="C400" s="44"/>
      <c r="D400" s="16"/>
      <c r="E400" s="16"/>
      <c r="F400" s="16"/>
      <c r="G400" s="16"/>
      <c r="H400" s="45"/>
      <c r="I400" s="45"/>
      <c r="J400" s="11" t="str">
        <f aca="false">IF(I400="","",LEN(I400))</f>
        <v/>
      </c>
      <c r="K400" s="16"/>
      <c r="L400" s="16"/>
      <c r="M400" s="11" t="str">
        <f aca="false">IF(L400="","",IFERROR(INDEX('Hashtag Bank'!$E$5:$E$104,MATCH(L400,'Hashtag Bank'!$B$5:$B$104,0)),""))</f>
        <v/>
      </c>
      <c r="N400" s="16"/>
      <c r="O400" s="16"/>
      <c r="P400" s="16"/>
      <c r="Q400" s="46" t="str">
        <f aca="true">IF(A400&amp;H400="","",TRIM(IF(AND(A400&lt;&gt;"",A400&lt;TODAY(),O400&lt;&gt;"Published",O400&lt;&gt;"Repurpose"),"⚠ Overdue ","")&amp;IF(AND(J400&lt;&gt;"",D400&lt;&gt;"",IFERROR(J400&gt;INDEX(Setup!$E$9:$E$18,MATCH(D400,Setup!$B$9:$B$18,0)),FALSE())),"✂ Caption too long ","")&amp;IF(AND(M400&lt;&gt;"",D400&lt;&gt;"",IFERROR(M400&gt;INDEX(Setup!$F$9:$F$18,MATCH(D400,Setup!$B$9:$B$18,0)),FALSE())),"# Too many tags","")))</f>
        <v/>
      </c>
      <c r="R400" s="16"/>
      <c r="S400" s="19"/>
      <c r="T400" s="19"/>
      <c r="U400" s="19"/>
      <c r="V400" s="19"/>
      <c r="W400" s="19"/>
      <c r="X400" s="19"/>
      <c r="Y400" s="19"/>
      <c r="Z400" s="47" t="str">
        <f aca="false">IF(COUNT(U400:X400)=0,"",SUM(U400:X400))</f>
        <v/>
      </c>
      <c r="AA400" s="48" t="str">
        <f aca="false">IF(OR(Z400="",N(T400)=0),"",Z400/T400)</f>
        <v/>
      </c>
      <c r="AB400" s="45"/>
      <c r="AC400" s="51" t="str">
        <f aca="false">IF(A400="","",A400+N(C400)+ROW()/10^7)</f>
        <v/>
      </c>
      <c r="AD400" s="51" t="str">
        <f aca="false">IF(A400="","",TEXT(A400,"0")&amp;"|"&amp;COUNTIFS('Content Log'!$A$5:$A$504,A400,'Content Log'!$AC$5:$AC$504,"&lt;="&amp;AC400))</f>
        <v/>
      </c>
      <c r="AE400" s="51" t="str">
        <f aca="false">IF(A400="","",IFERROR(INDEX(Setup!$N$9:$N$14,MATCH(O400,Setup!$M$9:$M$14,0))&amp;" ","")&amp;IF(C400="","",TEXT(C400,"h:mm AM/PM")&amp;" ")&amp;D400&amp;IF(H400="",""," · "&amp;H400))</f>
        <v/>
      </c>
      <c r="AF400" s="51" t="str">
        <f aca="false">IF(OR(A400="",AA400=""),"",IF(AND(A400&gt;=Dashboard!$G$4,A400&lt;=Dashboard!$I$4),AA400+ROW()/10^9,""))</f>
        <v/>
      </c>
      <c r="AG400" s="51" t="str">
        <f aca="false">IF(A400="","",WEEKDAY(A400,2))</f>
        <v/>
      </c>
    </row>
    <row r="401" customFormat="false" ht="15" hidden="false" customHeight="false" outlineLevel="0" collapsed="false">
      <c r="A401" s="43"/>
      <c r="B401" s="11" t="str">
        <f aca="false">IF(A401="","",TEXT(A401,"ddd"))</f>
        <v/>
      </c>
      <c r="C401" s="44"/>
      <c r="D401" s="16"/>
      <c r="E401" s="16"/>
      <c r="F401" s="16"/>
      <c r="G401" s="16"/>
      <c r="H401" s="45"/>
      <c r="I401" s="45"/>
      <c r="J401" s="11" t="str">
        <f aca="false">IF(I401="","",LEN(I401))</f>
        <v/>
      </c>
      <c r="K401" s="16"/>
      <c r="L401" s="16"/>
      <c r="M401" s="11" t="str">
        <f aca="false">IF(L401="","",IFERROR(INDEX('Hashtag Bank'!$E$5:$E$104,MATCH(L401,'Hashtag Bank'!$B$5:$B$104,0)),""))</f>
        <v/>
      </c>
      <c r="N401" s="16"/>
      <c r="O401" s="16"/>
      <c r="P401" s="16"/>
      <c r="Q401" s="46" t="str">
        <f aca="true">IF(A401&amp;H401="","",TRIM(IF(AND(A401&lt;&gt;"",A401&lt;TODAY(),O401&lt;&gt;"Published",O401&lt;&gt;"Repurpose"),"⚠ Overdue ","")&amp;IF(AND(J401&lt;&gt;"",D401&lt;&gt;"",IFERROR(J401&gt;INDEX(Setup!$E$9:$E$18,MATCH(D401,Setup!$B$9:$B$18,0)),FALSE())),"✂ Caption too long ","")&amp;IF(AND(M401&lt;&gt;"",D401&lt;&gt;"",IFERROR(M401&gt;INDEX(Setup!$F$9:$F$18,MATCH(D401,Setup!$B$9:$B$18,0)),FALSE())),"# Too many tags","")))</f>
        <v/>
      </c>
      <c r="R401" s="16"/>
      <c r="S401" s="19"/>
      <c r="T401" s="19"/>
      <c r="U401" s="19"/>
      <c r="V401" s="19"/>
      <c r="W401" s="19"/>
      <c r="X401" s="19"/>
      <c r="Y401" s="19"/>
      <c r="Z401" s="47" t="str">
        <f aca="false">IF(COUNT(U401:X401)=0,"",SUM(U401:X401))</f>
        <v/>
      </c>
      <c r="AA401" s="48" t="str">
        <f aca="false">IF(OR(Z401="",N(T401)=0),"",Z401/T401)</f>
        <v/>
      </c>
      <c r="AB401" s="45"/>
      <c r="AC401" s="51" t="str">
        <f aca="false">IF(A401="","",A401+N(C401)+ROW()/10^7)</f>
        <v/>
      </c>
      <c r="AD401" s="51" t="str">
        <f aca="false">IF(A401="","",TEXT(A401,"0")&amp;"|"&amp;COUNTIFS('Content Log'!$A$5:$A$504,A401,'Content Log'!$AC$5:$AC$504,"&lt;="&amp;AC401))</f>
        <v/>
      </c>
      <c r="AE401" s="51" t="str">
        <f aca="false">IF(A401="","",IFERROR(INDEX(Setup!$N$9:$N$14,MATCH(O401,Setup!$M$9:$M$14,0))&amp;" ","")&amp;IF(C401="","",TEXT(C401,"h:mm AM/PM")&amp;" ")&amp;D401&amp;IF(H401="",""," · "&amp;H401))</f>
        <v/>
      </c>
      <c r="AF401" s="51" t="str">
        <f aca="false">IF(OR(A401="",AA401=""),"",IF(AND(A401&gt;=Dashboard!$G$4,A401&lt;=Dashboard!$I$4),AA401+ROW()/10^9,""))</f>
        <v/>
      </c>
      <c r="AG401" s="51" t="str">
        <f aca="false">IF(A401="","",WEEKDAY(A401,2))</f>
        <v/>
      </c>
    </row>
    <row r="402" customFormat="false" ht="15" hidden="false" customHeight="false" outlineLevel="0" collapsed="false">
      <c r="A402" s="43"/>
      <c r="B402" s="11" t="str">
        <f aca="false">IF(A402="","",TEXT(A402,"ddd"))</f>
        <v/>
      </c>
      <c r="C402" s="44"/>
      <c r="D402" s="16"/>
      <c r="E402" s="16"/>
      <c r="F402" s="16"/>
      <c r="G402" s="16"/>
      <c r="H402" s="45"/>
      <c r="I402" s="45"/>
      <c r="J402" s="11" t="str">
        <f aca="false">IF(I402="","",LEN(I402))</f>
        <v/>
      </c>
      <c r="K402" s="16"/>
      <c r="L402" s="16"/>
      <c r="M402" s="11" t="str">
        <f aca="false">IF(L402="","",IFERROR(INDEX('Hashtag Bank'!$E$5:$E$104,MATCH(L402,'Hashtag Bank'!$B$5:$B$104,0)),""))</f>
        <v/>
      </c>
      <c r="N402" s="16"/>
      <c r="O402" s="16"/>
      <c r="P402" s="16"/>
      <c r="Q402" s="46" t="str">
        <f aca="true">IF(A402&amp;H402="","",TRIM(IF(AND(A402&lt;&gt;"",A402&lt;TODAY(),O402&lt;&gt;"Published",O402&lt;&gt;"Repurpose"),"⚠ Overdue ","")&amp;IF(AND(J402&lt;&gt;"",D402&lt;&gt;"",IFERROR(J402&gt;INDEX(Setup!$E$9:$E$18,MATCH(D402,Setup!$B$9:$B$18,0)),FALSE())),"✂ Caption too long ","")&amp;IF(AND(M402&lt;&gt;"",D402&lt;&gt;"",IFERROR(M402&gt;INDEX(Setup!$F$9:$F$18,MATCH(D402,Setup!$B$9:$B$18,0)),FALSE())),"# Too many tags","")))</f>
        <v/>
      </c>
      <c r="R402" s="16"/>
      <c r="S402" s="19"/>
      <c r="T402" s="19"/>
      <c r="U402" s="19"/>
      <c r="V402" s="19"/>
      <c r="W402" s="19"/>
      <c r="X402" s="19"/>
      <c r="Y402" s="19"/>
      <c r="Z402" s="47" t="str">
        <f aca="false">IF(COUNT(U402:X402)=0,"",SUM(U402:X402))</f>
        <v/>
      </c>
      <c r="AA402" s="48" t="str">
        <f aca="false">IF(OR(Z402="",N(T402)=0),"",Z402/T402)</f>
        <v/>
      </c>
      <c r="AB402" s="45"/>
      <c r="AC402" s="51" t="str">
        <f aca="false">IF(A402="","",A402+N(C402)+ROW()/10^7)</f>
        <v/>
      </c>
      <c r="AD402" s="51" t="str">
        <f aca="false">IF(A402="","",TEXT(A402,"0")&amp;"|"&amp;COUNTIFS('Content Log'!$A$5:$A$504,A402,'Content Log'!$AC$5:$AC$504,"&lt;="&amp;AC402))</f>
        <v/>
      </c>
      <c r="AE402" s="51" t="str">
        <f aca="false">IF(A402="","",IFERROR(INDEX(Setup!$N$9:$N$14,MATCH(O402,Setup!$M$9:$M$14,0))&amp;" ","")&amp;IF(C402="","",TEXT(C402,"h:mm AM/PM")&amp;" ")&amp;D402&amp;IF(H402="",""," · "&amp;H402))</f>
        <v/>
      </c>
      <c r="AF402" s="51" t="str">
        <f aca="false">IF(OR(A402="",AA402=""),"",IF(AND(A402&gt;=Dashboard!$G$4,A402&lt;=Dashboard!$I$4),AA402+ROW()/10^9,""))</f>
        <v/>
      </c>
      <c r="AG402" s="51" t="str">
        <f aca="false">IF(A402="","",WEEKDAY(A402,2))</f>
        <v/>
      </c>
    </row>
    <row r="403" customFormat="false" ht="15" hidden="false" customHeight="false" outlineLevel="0" collapsed="false">
      <c r="A403" s="43"/>
      <c r="B403" s="11" t="str">
        <f aca="false">IF(A403="","",TEXT(A403,"ddd"))</f>
        <v/>
      </c>
      <c r="C403" s="44"/>
      <c r="D403" s="16"/>
      <c r="E403" s="16"/>
      <c r="F403" s="16"/>
      <c r="G403" s="16"/>
      <c r="H403" s="45"/>
      <c r="I403" s="45"/>
      <c r="J403" s="11" t="str">
        <f aca="false">IF(I403="","",LEN(I403))</f>
        <v/>
      </c>
      <c r="K403" s="16"/>
      <c r="L403" s="16"/>
      <c r="M403" s="11" t="str">
        <f aca="false">IF(L403="","",IFERROR(INDEX('Hashtag Bank'!$E$5:$E$104,MATCH(L403,'Hashtag Bank'!$B$5:$B$104,0)),""))</f>
        <v/>
      </c>
      <c r="N403" s="16"/>
      <c r="O403" s="16"/>
      <c r="P403" s="16"/>
      <c r="Q403" s="46" t="str">
        <f aca="true">IF(A403&amp;H403="","",TRIM(IF(AND(A403&lt;&gt;"",A403&lt;TODAY(),O403&lt;&gt;"Published",O403&lt;&gt;"Repurpose"),"⚠ Overdue ","")&amp;IF(AND(J403&lt;&gt;"",D403&lt;&gt;"",IFERROR(J403&gt;INDEX(Setup!$E$9:$E$18,MATCH(D403,Setup!$B$9:$B$18,0)),FALSE())),"✂ Caption too long ","")&amp;IF(AND(M403&lt;&gt;"",D403&lt;&gt;"",IFERROR(M403&gt;INDEX(Setup!$F$9:$F$18,MATCH(D403,Setup!$B$9:$B$18,0)),FALSE())),"# Too many tags","")))</f>
        <v/>
      </c>
      <c r="R403" s="16"/>
      <c r="S403" s="19"/>
      <c r="T403" s="19"/>
      <c r="U403" s="19"/>
      <c r="V403" s="19"/>
      <c r="W403" s="19"/>
      <c r="X403" s="19"/>
      <c r="Y403" s="19"/>
      <c r="Z403" s="47" t="str">
        <f aca="false">IF(COUNT(U403:X403)=0,"",SUM(U403:X403))</f>
        <v/>
      </c>
      <c r="AA403" s="48" t="str">
        <f aca="false">IF(OR(Z403="",N(T403)=0),"",Z403/T403)</f>
        <v/>
      </c>
      <c r="AB403" s="45"/>
      <c r="AC403" s="51" t="str">
        <f aca="false">IF(A403="","",A403+N(C403)+ROW()/10^7)</f>
        <v/>
      </c>
      <c r="AD403" s="51" t="str">
        <f aca="false">IF(A403="","",TEXT(A403,"0")&amp;"|"&amp;COUNTIFS('Content Log'!$A$5:$A$504,A403,'Content Log'!$AC$5:$AC$504,"&lt;="&amp;AC403))</f>
        <v/>
      </c>
      <c r="AE403" s="51" t="str">
        <f aca="false">IF(A403="","",IFERROR(INDEX(Setup!$N$9:$N$14,MATCH(O403,Setup!$M$9:$M$14,0))&amp;" ","")&amp;IF(C403="","",TEXT(C403,"h:mm AM/PM")&amp;" ")&amp;D403&amp;IF(H403="",""," · "&amp;H403))</f>
        <v/>
      </c>
      <c r="AF403" s="51" t="str">
        <f aca="false">IF(OR(A403="",AA403=""),"",IF(AND(A403&gt;=Dashboard!$G$4,A403&lt;=Dashboard!$I$4),AA403+ROW()/10^9,""))</f>
        <v/>
      </c>
      <c r="AG403" s="51" t="str">
        <f aca="false">IF(A403="","",WEEKDAY(A403,2))</f>
        <v/>
      </c>
    </row>
    <row r="404" customFormat="false" ht="15" hidden="false" customHeight="false" outlineLevel="0" collapsed="false">
      <c r="A404" s="43"/>
      <c r="B404" s="11" t="str">
        <f aca="false">IF(A404="","",TEXT(A404,"ddd"))</f>
        <v/>
      </c>
      <c r="C404" s="44"/>
      <c r="D404" s="16"/>
      <c r="E404" s="16"/>
      <c r="F404" s="16"/>
      <c r="G404" s="16"/>
      <c r="H404" s="45"/>
      <c r="I404" s="45"/>
      <c r="J404" s="11" t="str">
        <f aca="false">IF(I404="","",LEN(I404))</f>
        <v/>
      </c>
      <c r="K404" s="16"/>
      <c r="L404" s="16"/>
      <c r="M404" s="11" t="str">
        <f aca="false">IF(L404="","",IFERROR(INDEX('Hashtag Bank'!$E$5:$E$104,MATCH(L404,'Hashtag Bank'!$B$5:$B$104,0)),""))</f>
        <v/>
      </c>
      <c r="N404" s="16"/>
      <c r="O404" s="16"/>
      <c r="P404" s="16"/>
      <c r="Q404" s="46" t="str">
        <f aca="true">IF(A404&amp;H404="","",TRIM(IF(AND(A404&lt;&gt;"",A404&lt;TODAY(),O404&lt;&gt;"Published",O404&lt;&gt;"Repurpose"),"⚠ Overdue ","")&amp;IF(AND(J404&lt;&gt;"",D404&lt;&gt;"",IFERROR(J404&gt;INDEX(Setup!$E$9:$E$18,MATCH(D404,Setup!$B$9:$B$18,0)),FALSE())),"✂ Caption too long ","")&amp;IF(AND(M404&lt;&gt;"",D404&lt;&gt;"",IFERROR(M404&gt;INDEX(Setup!$F$9:$F$18,MATCH(D404,Setup!$B$9:$B$18,0)),FALSE())),"# Too many tags","")))</f>
        <v/>
      </c>
      <c r="R404" s="16"/>
      <c r="S404" s="19"/>
      <c r="T404" s="19"/>
      <c r="U404" s="19"/>
      <c r="V404" s="19"/>
      <c r="W404" s="19"/>
      <c r="X404" s="19"/>
      <c r="Y404" s="19"/>
      <c r="Z404" s="47" t="str">
        <f aca="false">IF(COUNT(U404:X404)=0,"",SUM(U404:X404))</f>
        <v/>
      </c>
      <c r="AA404" s="48" t="str">
        <f aca="false">IF(OR(Z404="",N(T404)=0),"",Z404/T404)</f>
        <v/>
      </c>
      <c r="AB404" s="45"/>
      <c r="AC404" s="51" t="str">
        <f aca="false">IF(A404="","",A404+N(C404)+ROW()/10^7)</f>
        <v/>
      </c>
      <c r="AD404" s="51" t="str">
        <f aca="false">IF(A404="","",TEXT(A404,"0")&amp;"|"&amp;COUNTIFS('Content Log'!$A$5:$A$504,A404,'Content Log'!$AC$5:$AC$504,"&lt;="&amp;AC404))</f>
        <v/>
      </c>
      <c r="AE404" s="51" t="str">
        <f aca="false">IF(A404="","",IFERROR(INDEX(Setup!$N$9:$N$14,MATCH(O404,Setup!$M$9:$M$14,0))&amp;" ","")&amp;IF(C404="","",TEXT(C404,"h:mm AM/PM")&amp;" ")&amp;D404&amp;IF(H404="",""," · "&amp;H404))</f>
        <v/>
      </c>
      <c r="AF404" s="51" t="str">
        <f aca="false">IF(OR(A404="",AA404=""),"",IF(AND(A404&gt;=Dashboard!$G$4,A404&lt;=Dashboard!$I$4),AA404+ROW()/10^9,""))</f>
        <v/>
      </c>
      <c r="AG404" s="51" t="str">
        <f aca="false">IF(A404="","",WEEKDAY(A404,2))</f>
        <v/>
      </c>
    </row>
    <row r="405" customFormat="false" ht="15" hidden="false" customHeight="false" outlineLevel="0" collapsed="false">
      <c r="A405" s="43"/>
      <c r="B405" s="11" t="str">
        <f aca="false">IF(A405="","",TEXT(A405,"ddd"))</f>
        <v/>
      </c>
      <c r="C405" s="44"/>
      <c r="D405" s="16"/>
      <c r="E405" s="16"/>
      <c r="F405" s="16"/>
      <c r="G405" s="16"/>
      <c r="H405" s="45"/>
      <c r="I405" s="45"/>
      <c r="J405" s="11" t="str">
        <f aca="false">IF(I405="","",LEN(I405))</f>
        <v/>
      </c>
      <c r="K405" s="16"/>
      <c r="L405" s="16"/>
      <c r="M405" s="11" t="str">
        <f aca="false">IF(L405="","",IFERROR(INDEX('Hashtag Bank'!$E$5:$E$104,MATCH(L405,'Hashtag Bank'!$B$5:$B$104,0)),""))</f>
        <v/>
      </c>
      <c r="N405" s="16"/>
      <c r="O405" s="16"/>
      <c r="P405" s="16"/>
      <c r="Q405" s="46" t="str">
        <f aca="true">IF(A405&amp;H405="","",TRIM(IF(AND(A405&lt;&gt;"",A405&lt;TODAY(),O405&lt;&gt;"Published",O405&lt;&gt;"Repurpose"),"⚠ Overdue ","")&amp;IF(AND(J405&lt;&gt;"",D405&lt;&gt;"",IFERROR(J405&gt;INDEX(Setup!$E$9:$E$18,MATCH(D405,Setup!$B$9:$B$18,0)),FALSE())),"✂ Caption too long ","")&amp;IF(AND(M405&lt;&gt;"",D405&lt;&gt;"",IFERROR(M405&gt;INDEX(Setup!$F$9:$F$18,MATCH(D405,Setup!$B$9:$B$18,0)),FALSE())),"# Too many tags","")))</f>
        <v/>
      </c>
      <c r="R405" s="16"/>
      <c r="S405" s="19"/>
      <c r="T405" s="19"/>
      <c r="U405" s="19"/>
      <c r="V405" s="19"/>
      <c r="W405" s="19"/>
      <c r="X405" s="19"/>
      <c r="Y405" s="19"/>
      <c r="Z405" s="47" t="str">
        <f aca="false">IF(COUNT(U405:X405)=0,"",SUM(U405:X405))</f>
        <v/>
      </c>
      <c r="AA405" s="48" t="str">
        <f aca="false">IF(OR(Z405="",N(T405)=0),"",Z405/T405)</f>
        <v/>
      </c>
      <c r="AB405" s="45"/>
      <c r="AC405" s="51" t="str">
        <f aca="false">IF(A405="","",A405+N(C405)+ROW()/10^7)</f>
        <v/>
      </c>
      <c r="AD405" s="51" t="str">
        <f aca="false">IF(A405="","",TEXT(A405,"0")&amp;"|"&amp;COUNTIFS('Content Log'!$A$5:$A$504,A405,'Content Log'!$AC$5:$AC$504,"&lt;="&amp;AC405))</f>
        <v/>
      </c>
      <c r="AE405" s="51" t="str">
        <f aca="false">IF(A405="","",IFERROR(INDEX(Setup!$N$9:$N$14,MATCH(O405,Setup!$M$9:$M$14,0))&amp;" ","")&amp;IF(C405="","",TEXT(C405,"h:mm AM/PM")&amp;" ")&amp;D405&amp;IF(H405="",""," · "&amp;H405))</f>
        <v/>
      </c>
      <c r="AF405" s="51" t="str">
        <f aca="false">IF(OR(A405="",AA405=""),"",IF(AND(A405&gt;=Dashboard!$G$4,A405&lt;=Dashboard!$I$4),AA405+ROW()/10^9,""))</f>
        <v/>
      </c>
      <c r="AG405" s="51" t="str">
        <f aca="false">IF(A405="","",WEEKDAY(A405,2))</f>
        <v/>
      </c>
    </row>
    <row r="406" customFormat="false" ht="15" hidden="false" customHeight="false" outlineLevel="0" collapsed="false">
      <c r="A406" s="43"/>
      <c r="B406" s="11" t="str">
        <f aca="false">IF(A406="","",TEXT(A406,"ddd"))</f>
        <v/>
      </c>
      <c r="C406" s="44"/>
      <c r="D406" s="16"/>
      <c r="E406" s="16"/>
      <c r="F406" s="16"/>
      <c r="G406" s="16"/>
      <c r="H406" s="45"/>
      <c r="I406" s="45"/>
      <c r="J406" s="11" t="str">
        <f aca="false">IF(I406="","",LEN(I406))</f>
        <v/>
      </c>
      <c r="K406" s="16"/>
      <c r="L406" s="16"/>
      <c r="M406" s="11" t="str">
        <f aca="false">IF(L406="","",IFERROR(INDEX('Hashtag Bank'!$E$5:$E$104,MATCH(L406,'Hashtag Bank'!$B$5:$B$104,0)),""))</f>
        <v/>
      </c>
      <c r="N406" s="16"/>
      <c r="O406" s="16"/>
      <c r="P406" s="16"/>
      <c r="Q406" s="46" t="str">
        <f aca="true">IF(A406&amp;H406="","",TRIM(IF(AND(A406&lt;&gt;"",A406&lt;TODAY(),O406&lt;&gt;"Published",O406&lt;&gt;"Repurpose"),"⚠ Overdue ","")&amp;IF(AND(J406&lt;&gt;"",D406&lt;&gt;"",IFERROR(J406&gt;INDEX(Setup!$E$9:$E$18,MATCH(D406,Setup!$B$9:$B$18,0)),FALSE())),"✂ Caption too long ","")&amp;IF(AND(M406&lt;&gt;"",D406&lt;&gt;"",IFERROR(M406&gt;INDEX(Setup!$F$9:$F$18,MATCH(D406,Setup!$B$9:$B$18,0)),FALSE())),"# Too many tags","")))</f>
        <v/>
      </c>
      <c r="R406" s="16"/>
      <c r="S406" s="19"/>
      <c r="T406" s="19"/>
      <c r="U406" s="19"/>
      <c r="V406" s="19"/>
      <c r="W406" s="19"/>
      <c r="X406" s="19"/>
      <c r="Y406" s="19"/>
      <c r="Z406" s="47" t="str">
        <f aca="false">IF(COUNT(U406:X406)=0,"",SUM(U406:X406))</f>
        <v/>
      </c>
      <c r="AA406" s="48" t="str">
        <f aca="false">IF(OR(Z406="",N(T406)=0),"",Z406/T406)</f>
        <v/>
      </c>
      <c r="AB406" s="45"/>
      <c r="AC406" s="51" t="str">
        <f aca="false">IF(A406="","",A406+N(C406)+ROW()/10^7)</f>
        <v/>
      </c>
      <c r="AD406" s="51" t="str">
        <f aca="false">IF(A406="","",TEXT(A406,"0")&amp;"|"&amp;COUNTIFS('Content Log'!$A$5:$A$504,A406,'Content Log'!$AC$5:$AC$504,"&lt;="&amp;AC406))</f>
        <v/>
      </c>
      <c r="AE406" s="51" t="str">
        <f aca="false">IF(A406="","",IFERROR(INDEX(Setup!$N$9:$N$14,MATCH(O406,Setup!$M$9:$M$14,0))&amp;" ","")&amp;IF(C406="","",TEXT(C406,"h:mm AM/PM")&amp;" ")&amp;D406&amp;IF(H406="",""," · "&amp;H406))</f>
        <v/>
      </c>
      <c r="AF406" s="51" t="str">
        <f aca="false">IF(OR(A406="",AA406=""),"",IF(AND(A406&gt;=Dashboard!$G$4,A406&lt;=Dashboard!$I$4),AA406+ROW()/10^9,""))</f>
        <v/>
      </c>
      <c r="AG406" s="51" t="str">
        <f aca="false">IF(A406="","",WEEKDAY(A406,2))</f>
        <v/>
      </c>
    </row>
    <row r="407" customFormat="false" ht="15" hidden="false" customHeight="false" outlineLevel="0" collapsed="false">
      <c r="A407" s="43"/>
      <c r="B407" s="11" t="str">
        <f aca="false">IF(A407="","",TEXT(A407,"ddd"))</f>
        <v/>
      </c>
      <c r="C407" s="44"/>
      <c r="D407" s="16"/>
      <c r="E407" s="16"/>
      <c r="F407" s="16"/>
      <c r="G407" s="16"/>
      <c r="H407" s="45"/>
      <c r="I407" s="45"/>
      <c r="J407" s="11" t="str">
        <f aca="false">IF(I407="","",LEN(I407))</f>
        <v/>
      </c>
      <c r="K407" s="16"/>
      <c r="L407" s="16"/>
      <c r="M407" s="11" t="str">
        <f aca="false">IF(L407="","",IFERROR(INDEX('Hashtag Bank'!$E$5:$E$104,MATCH(L407,'Hashtag Bank'!$B$5:$B$104,0)),""))</f>
        <v/>
      </c>
      <c r="N407" s="16"/>
      <c r="O407" s="16"/>
      <c r="P407" s="16"/>
      <c r="Q407" s="46" t="str">
        <f aca="true">IF(A407&amp;H407="","",TRIM(IF(AND(A407&lt;&gt;"",A407&lt;TODAY(),O407&lt;&gt;"Published",O407&lt;&gt;"Repurpose"),"⚠ Overdue ","")&amp;IF(AND(J407&lt;&gt;"",D407&lt;&gt;"",IFERROR(J407&gt;INDEX(Setup!$E$9:$E$18,MATCH(D407,Setup!$B$9:$B$18,0)),FALSE())),"✂ Caption too long ","")&amp;IF(AND(M407&lt;&gt;"",D407&lt;&gt;"",IFERROR(M407&gt;INDEX(Setup!$F$9:$F$18,MATCH(D407,Setup!$B$9:$B$18,0)),FALSE())),"# Too many tags","")))</f>
        <v/>
      </c>
      <c r="R407" s="16"/>
      <c r="S407" s="19"/>
      <c r="T407" s="19"/>
      <c r="U407" s="19"/>
      <c r="V407" s="19"/>
      <c r="W407" s="19"/>
      <c r="X407" s="19"/>
      <c r="Y407" s="19"/>
      <c r="Z407" s="47" t="str">
        <f aca="false">IF(COUNT(U407:X407)=0,"",SUM(U407:X407))</f>
        <v/>
      </c>
      <c r="AA407" s="48" t="str">
        <f aca="false">IF(OR(Z407="",N(T407)=0),"",Z407/T407)</f>
        <v/>
      </c>
      <c r="AB407" s="45"/>
      <c r="AC407" s="51" t="str">
        <f aca="false">IF(A407="","",A407+N(C407)+ROW()/10^7)</f>
        <v/>
      </c>
      <c r="AD407" s="51" t="str">
        <f aca="false">IF(A407="","",TEXT(A407,"0")&amp;"|"&amp;COUNTIFS('Content Log'!$A$5:$A$504,A407,'Content Log'!$AC$5:$AC$504,"&lt;="&amp;AC407))</f>
        <v/>
      </c>
      <c r="AE407" s="51" t="str">
        <f aca="false">IF(A407="","",IFERROR(INDEX(Setup!$N$9:$N$14,MATCH(O407,Setup!$M$9:$M$14,0))&amp;" ","")&amp;IF(C407="","",TEXT(C407,"h:mm AM/PM")&amp;" ")&amp;D407&amp;IF(H407="",""," · "&amp;H407))</f>
        <v/>
      </c>
      <c r="AF407" s="51" t="str">
        <f aca="false">IF(OR(A407="",AA407=""),"",IF(AND(A407&gt;=Dashboard!$G$4,A407&lt;=Dashboard!$I$4),AA407+ROW()/10^9,""))</f>
        <v/>
      </c>
      <c r="AG407" s="51" t="str">
        <f aca="false">IF(A407="","",WEEKDAY(A407,2))</f>
        <v/>
      </c>
    </row>
    <row r="408" customFormat="false" ht="15" hidden="false" customHeight="false" outlineLevel="0" collapsed="false">
      <c r="A408" s="43"/>
      <c r="B408" s="11" t="str">
        <f aca="false">IF(A408="","",TEXT(A408,"ddd"))</f>
        <v/>
      </c>
      <c r="C408" s="44"/>
      <c r="D408" s="16"/>
      <c r="E408" s="16"/>
      <c r="F408" s="16"/>
      <c r="G408" s="16"/>
      <c r="H408" s="45"/>
      <c r="I408" s="45"/>
      <c r="J408" s="11" t="str">
        <f aca="false">IF(I408="","",LEN(I408))</f>
        <v/>
      </c>
      <c r="K408" s="16"/>
      <c r="L408" s="16"/>
      <c r="M408" s="11" t="str">
        <f aca="false">IF(L408="","",IFERROR(INDEX('Hashtag Bank'!$E$5:$E$104,MATCH(L408,'Hashtag Bank'!$B$5:$B$104,0)),""))</f>
        <v/>
      </c>
      <c r="N408" s="16"/>
      <c r="O408" s="16"/>
      <c r="P408" s="16"/>
      <c r="Q408" s="46" t="str">
        <f aca="true">IF(A408&amp;H408="","",TRIM(IF(AND(A408&lt;&gt;"",A408&lt;TODAY(),O408&lt;&gt;"Published",O408&lt;&gt;"Repurpose"),"⚠ Overdue ","")&amp;IF(AND(J408&lt;&gt;"",D408&lt;&gt;"",IFERROR(J408&gt;INDEX(Setup!$E$9:$E$18,MATCH(D408,Setup!$B$9:$B$18,0)),FALSE())),"✂ Caption too long ","")&amp;IF(AND(M408&lt;&gt;"",D408&lt;&gt;"",IFERROR(M408&gt;INDEX(Setup!$F$9:$F$18,MATCH(D408,Setup!$B$9:$B$18,0)),FALSE())),"# Too many tags","")))</f>
        <v/>
      </c>
      <c r="R408" s="16"/>
      <c r="S408" s="19"/>
      <c r="T408" s="19"/>
      <c r="U408" s="19"/>
      <c r="V408" s="19"/>
      <c r="W408" s="19"/>
      <c r="X408" s="19"/>
      <c r="Y408" s="19"/>
      <c r="Z408" s="47" t="str">
        <f aca="false">IF(COUNT(U408:X408)=0,"",SUM(U408:X408))</f>
        <v/>
      </c>
      <c r="AA408" s="48" t="str">
        <f aca="false">IF(OR(Z408="",N(T408)=0),"",Z408/T408)</f>
        <v/>
      </c>
      <c r="AB408" s="45"/>
      <c r="AC408" s="51" t="str">
        <f aca="false">IF(A408="","",A408+N(C408)+ROW()/10^7)</f>
        <v/>
      </c>
      <c r="AD408" s="51" t="str">
        <f aca="false">IF(A408="","",TEXT(A408,"0")&amp;"|"&amp;COUNTIFS('Content Log'!$A$5:$A$504,A408,'Content Log'!$AC$5:$AC$504,"&lt;="&amp;AC408))</f>
        <v/>
      </c>
      <c r="AE408" s="51" t="str">
        <f aca="false">IF(A408="","",IFERROR(INDEX(Setup!$N$9:$N$14,MATCH(O408,Setup!$M$9:$M$14,0))&amp;" ","")&amp;IF(C408="","",TEXT(C408,"h:mm AM/PM")&amp;" ")&amp;D408&amp;IF(H408="",""," · "&amp;H408))</f>
        <v/>
      </c>
      <c r="AF408" s="51" t="str">
        <f aca="false">IF(OR(A408="",AA408=""),"",IF(AND(A408&gt;=Dashboard!$G$4,A408&lt;=Dashboard!$I$4),AA408+ROW()/10^9,""))</f>
        <v/>
      </c>
      <c r="AG408" s="51" t="str">
        <f aca="false">IF(A408="","",WEEKDAY(A408,2))</f>
        <v/>
      </c>
    </row>
    <row r="409" customFormat="false" ht="15" hidden="false" customHeight="false" outlineLevel="0" collapsed="false">
      <c r="A409" s="43"/>
      <c r="B409" s="11" t="str">
        <f aca="false">IF(A409="","",TEXT(A409,"ddd"))</f>
        <v/>
      </c>
      <c r="C409" s="44"/>
      <c r="D409" s="16"/>
      <c r="E409" s="16"/>
      <c r="F409" s="16"/>
      <c r="G409" s="16"/>
      <c r="H409" s="45"/>
      <c r="I409" s="45"/>
      <c r="J409" s="11" t="str">
        <f aca="false">IF(I409="","",LEN(I409))</f>
        <v/>
      </c>
      <c r="K409" s="16"/>
      <c r="L409" s="16"/>
      <c r="M409" s="11" t="str">
        <f aca="false">IF(L409="","",IFERROR(INDEX('Hashtag Bank'!$E$5:$E$104,MATCH(L409,'Hashtag Bank'!$B$5:$B$104,0)),""))</f>
        <v/>
      </c>
      <c r="N409" s="16"/>
      <c r="O409" s="16"/>
      <c r="P409" s="16"/>
      <c r="Q409" s="46" t="str">
        <f aca="true">IF(A409&amp;H409="","",TRIM(IF(AND(A409&lt;&gt;"",A409&lt;TODAY(),O409&lt;&gt;"Published",O409&lt;&gt;"Repurpose"),"⚠ Overdue ","")&amp;IF(AND(J409&lt;&gt;"",D409&lt;&gt;"",IFERROR(J409&gt;INDEX(Setup!$E$9:$E$18,MATCH(D409,Setup!$B$9:$B$18,0)),FALSE())),"✂ Caption too long ","")&amp;IF(AND(M409&lt;&gt;"",D409&lt;&gt;"",IFERROR(M409&gt;INDEX(Setup!$F$9:$F$18,MATCH(D409,Setup!$B$9:$B$18,0)),FALSE())),"# Too many tags","")))</f>
        <v/>
      </c>
      <c r="R409" s="16"/>
      <c r="S409" s="19"/>
      <c r="T409" s="19"/>
      <c r="U409" s="19"/>
      <c r="V409" s="19"/>
      <c r="W409" s="19"/>
      <c r="X409" s="19"/>
      <c r="Y409" s="19"/>
      <c r="Z409" s="47" t="str">
        <f aca="false">IF(COUNT(U409:X409)=0,"",SUM(U409:X409))</f>
        <v/>
      </c>
      <c r="AA409" s="48" t="str">
        <f aca="false">IF(OR(Z409="",N(T409)=0),"",Z409/T409)</f>
        <v/>
      </c>
      <c r="AB409" s="45"/>
      <c r="AC409" s="51" t="str">
        <f aca="false">IF(A409="","",A409+N(C409)+ROW()/10^7)</f>
        <v/>
      </c>
      <c r="AD409" s="51" t="str">
        <f aca="false">IF(A409="","",TEXT(A409,"0")&amp;"|"&amp;COUNTIFS('Content Log'!$A$5:$A$504,A409,'Content Log'!$AC$5:$AC$504,"&lt;="&amp;AC409))</f>
        <v/>
      </c>
      <c r="AE409" s="51" t="str">
        <f aca="false">IF(A409="","",IFERROR(INDEX(Setup!$N$9:$N$14,MATCH(O409,Setup!$M$9:$M$14,0))&amp;" ","")&amp;IF(C409="","",TEXT(C409,"h:mm AM/PM")&amp;" ")&amp;D409&amp;IF(H409="",""," · "&amp;H409))</f>
        <v/>
      </c>
      <c r="AF409" s="51" t="str">
        <f aca="false">IF(OR(A409="",AA409=""),"",IF(AND(A409&gt;=Dashboard!$G$4,A409&lt;=Dashboard!$I$4),AA409+ROW()/10^9,""))</f>
        <v/>
      </c>
      <c r="AG409" s="51" t="str">
        <f aca="false">IF(A409="","",WEEKDAY(A409,2))</f>
        <v/>
      </c>
    </row>
    <row r="410" customFormat="false" ht="15" hidden="false" customHeight="false" outlineLevel="0" collapsed="false">
      <c r="A410" s="43"/>
      <c r="B410" s="11" t="str">
        <f aca="false">IF(A410="","",TEXT(A410,"ddd"))</f>
        <v/>
      </c>
      <c r="C410" s="44"/>
      <c r="D410" s="16"/>
      <c r="E410" s="16"/>
      <c r="F410" s="16"/>
      <c r="G410" s="16"/>
      <c r="H410" s="45"/>
      <c r="I410" s="45"/>
      <c r="J410" s="11" t="str">
        <f aca="false">IF(I410="","",LEN(I410))</f>
        <v/>
      </c>
      <c r="K410" s="16"/>
      <c r="L410" s="16"/>
      <c r="M410" s="11" t="str">
        <f aca="false">IF(L410="","",IFERROR(INDEX('Hashtag Bank'!$E$5:$E$104,MATCH(L410,'Hashtag Bank'!$B$5:$B$104,0)),""))</f>
        <v/>
      </c>
      <c r="N410" s="16"/>
      <c r="O410" s="16"/>
      <c r="P410" s="16"/>
      <c r="Q410" s="46" t="str">
        <f aca="true">IF(A410&amp;H410="","",TRIM(IF(AND(A410&lt;&gt;"",A410&lt;TODAY(),O410&lt;&gt;"Published",O410&lt;&gt;"Repurpose"),"⚠ Overdue ","")&amp;IF(AND(J410&lt;&gt;"",D410&lt;&gt;"",IFERROR(J410&gt;INDEX(Setup!$E$9:$E$18,MATCH(D410,Setup!$B$9:$B$18,0)),FALSE())),"✂ Caption too long ","")&amp;IF(AND(M410&lt;&gt;"",D410&lt;&gt;"",IFERROR(M410&gt;INDEX(Setup!$F$9:$F$18,MATCH(D410,Setup!$B$9:$B$18,0)),FALSE())),"# Too many tags","")))</f>
        <v/>
      </c>
      <c r="R410" s="16"/>
      <c r="S410" s="19"/>
      <c r="T410" s="19"/>
      <c r="U410" s="19"/>
      <c r="V410" s="19"/>
      <c r="W410" s="19"/>
      <c r="X410" s="19"/>
      <c r="Y410" s="19"/>
      <c r="Z410" s="47" t="str">
        <f aca="false">IF(COUNT(U410:X410)=0,"",SUM(U410:X410))</f>
        <v/>
      </c>
      <c r="AA410" s="48" t="str">
        <f aca="false">IF(OR(Z410="",N(T410)=0),"",Z410/T410)</f>
        <v/>
      </c>
      <c r="AB410" s="45"/>
      <c r="AC410" s="51" t="str">
        <f aca="false">IF(A410="","",A410+N(C410)+ROW()/10^7)</f>
        <v/>
      </c>
      <c r="AD410" s="51" t="str">
        <f aca="false">IF(A410="","",TEXT(A410,"0")&amp;"|"&amp;COUNTIFS('Content Log'!$A$5:$A$504,A410,'Content Log'!$AC$5:$AC$504,"&lt;="&amp;AC410))</f>
        <v/>
      </c>
      <c r="AE410" s="51" t="str">
        <f aca="false">IF(A410="","",IFERROR(INDEX(Setup!$N$9:$N$14,MATCH(O410,Setup!$M$9:$M$14,0))&amp;" ","")&amp;IF(C410="","",TEXT(C410,"h:mm AM/PM")&amp;" ")&amp;D410&amp;IF(H410="",""," · "&amp;H410))</f>
        <v/>
      </c>
      <c r="AF410" s="51" t="str">
        <f aca="false">IF(OR(A410="",AA410=""),"",IF(AND(A410&gt;=Dashboard!$G$4,A410&lt;=Dashboard!$I$4),AA410+ROW()/10^9,""))</f>
        <v/>
      </c>
      <c r="AG410" s="51" t="str">
        <f aca="false">IF(A410="","",WEEKDAY(A410,2))</f>
        <v/>
      </c>
    </row>
    <row r="411" customFormat="false" ht="15" hidden="false" customHeight="false" outlineLevel="0" collapsed="false">
      <c r="A411" s="43"/>
      <c r="B411" s="11" t="str">
        <f aca="false">IF(A411="","",TEXT(A411,"ddd"))</f>
        <v/>
      </c>
      <c r="C411" s="44"/>
      <c r="D411" s="16"/>
      <c r="E411" s="16"/>
      <c r="F411" s="16"/>
      <c r="G411" s="16"/>
      <c r="H411" s="45"/>
      <c r="I411" s="45"/>
      <c r="J411" s="11" t="str">
        <f aca="false">IF(I411="","",LEN(I411))</f>
        <v/>
      </c>
      <c r="K411" s="16"/>
      <c r="L411" s="16"/>
      <c r="M411" s="11" t="str">
        <f aca="false">IF(L411="","",IFERROR(INDEX('Hashtag Bank'!$E$5:$E$104,MATCH(L411,'Hashtag Bank'!$B$5:$B$104,0)),""))</f>
        <v/>
      </c>
      <c r="N411" s="16"/>
      <c r="O411" s="16"/>
      <c r="P411" s="16"/>
      <c r="Q411" s="46" t="str">
        <f aca="true">IF(A411&amp;H411="","",TRIM(IF(AND(A411&lt;&gt;"",A411&lt;TODAY(),O411&lt;&gt;"Published",O411&lt;&gt;"Repurpose"),"⚠ Overdue ","")&amp;IF(AND(J411&lt;&gt;"",D411&lt;&gt;"",IFERROR(J411&gt;INDEX(Setup!$E$9:$E$18,MATCH(D411,Setup!$B$9:$B$18,0)),FALSE())),"✂ Caption too long ","")&amp;IF(AND(M411&lt;&gt;"",D411&lt;&gt;"",IFERROR(M411&gt;INDEX(Setup!$F$9:$F$18,MATCH(D411,Setup!$B$9:$B$18,0)),FALSE())),"# Too many tags","")))</f>
        <v/>
      </c>
      <c r="R411" s="16"/>
      <c r="S411" s="19"/>
      <c r="T411" s="19"/>
      <c r="U411" s="19"/>
      <c r="V411" s="19"/>
      <c r="W411" s="19"/>
      <c r="X411" s="19"/>
      <c r="Y411" s="19"/>
      <c r="Z411" s="47" t="str">
        <f aca="false">IF(COUNT(U411:X411)=0,"",SUM(U411:X411))</f>
        <v/>
      </c>
      <c r="AA411" s="48" t="str">
        <f aca="false">IF(OR(Z411="",N(T411)=0),"",Z411/T411)</f>
        <v/>
      </c>
      <c r="AB411" s="45"/>
      <c r="AC411" s="51" t="str">
        <f aca="false">IF(A411="","",A411+N(C411)+ROW()/10^7)</f>
        <v/>
      </c>
      <c r="AD411" s="51" t="str">
        <f aca="false">IF(A411="","",TEXT(A411,"0")&amp;"|"&amp;COUNTIFS('Content Log'!$A$5:$A$504,A411,'Content Log'!$AC$5:$AC$504,"&lt;="&amp;AC411))</f>
        <v/>
      </c>
      <c r="AE411" s="51" t="str">
        <f aca="false">IF(A411="","",IFERROR(INDEX(Setup!$N$9:$N$14,MATCH(O411,Setup!$M$9:$M$14,0))&amp;" ","")&amp;IF(C411="","",TEXT(C411,"h:mm AM/PM")&amp;" ")&amp;D411&amp;IF(H411="",""," · "&amp;H411))</f>
        <v/>
      </c>
      <c r="AF411" s="51" t="str">
        <f aca="false">IF(OR(A411="",AA411=""),"",IF(AND(A411&gt;=Dashboard!$G$4,A411&lt;=Dashboard!$I$4),AA411+ROW()/10^9,""))</f>
        <v/>
      </c>
      <c r="AG411" s="51" t="str">
        <f aca="false">IF(A411="","",WEEKDAY(A411,2))</f>
        <v/>
      </c>
    </row>
    <row r="412" customFormat="false" ht="15" hidden="false" customHeight="false" outlineLevel="0" collapsed="false">
      <c r="A412" s="43"/>
      <c r="B412" s="11" t="str">
        <f aca="false">IF(A412="","",TEXT(A412,"ddd"))</f>
        <v/>
      </c>
      <c r="C412" s="44"/>
      <c r="D412" s="16"/>
      <c r="E412" s="16"/>
      <c r="F412" s="16"/>
      <c r="G412" s="16"/>
      <c r="H412" s="45"/>
      <c r="I412" s="45"/>
      <c r="J412" s="11" t="str">
        <f aca="false">IF(I412="","",LEN(I412))</f>
        <v/>
      </c>
      <c r="K412" s="16"/>
      <c r="L412" s="16"/>
      <c r="M412" s="11" t="str">
        <f aca="false">IF(L412="","",IFERROR(INDEX('Hashtag Bank'!$E$5:$E$104,MATCH(L412,'Hashtag Bank'!$B$5:$B$104,0)),""))</f>
        <v/>
      </c>
      <c r="N412" s="16"/>
      <c r="O412" s="16"/>
      <c r="P412" s="16"/>
      <c r="Q412" s="46" t="str">
        <f aca="true">IF(A412&amp;H412="","",TRIM(IF(AND(A412&lt;&gt;"",A412&lt;TODAY(),O412&lt;&gt;"Published",O412&lt;&gt;"Repurpose"),"⚠ Overdue ","")&amp;IF(AND(J412&lt;&gt;"",D412&lt;&gt;"",IFERROR(J412&gt;INDEX(Setup!$E$9:$E$18,MATCH(D412,Setup!$B$9:$B$18,0)),FALSE())),"✂ Caption too long ","")&amp;IF(AND(M412&lt;&gt;"",D412&lt;&gt;"",IFERROR(M412&gt;INDEX(Setup!$F$9:$F$18,MATCH(D412,Setup!$B$9:$B$18,0)),FALSE())),"# Too many tags","")))</f>
        <v/>
      </c>
      <c r="R412" s="16"/>
      <c r="S412" s="19"/>
      <c r="T412" s="19"/>
      <c r="U412" s="19"/>
      <c r="V412" s="19"/>
      <c r="W412" s="19"/>
      <c r="X412" s="19"/>
      <c r="Y412" s="19"/>
      <c r="Z412" s="47" t="str">
        <f aca="false">IF(COUNT(U412:X412)=0,"",SUM(U412:X412))</f>
        <v/>
      </c>
      <c r="AA412" s="48" t="str">
        <f aca="false">IF(OR(Z412="",N(T412)=0),"",Z412/T412)</f>
        <v/>
      </c>
      <c r="AB412" s="45"/>
      <c r="AC412" s="51" t="str">
        <f aca="false">IF(A412="","",A412+N(C412)+ROW()/10^7)</f>
        <v/>
      </c>
      <c r="AD412" s="51" t="str">
        <f aca="false">IF(A412="","",TEXT(A412,"0")&amp;"|"&amp;COUNTIFS('Content Log'!$A$5:$A$504,A412,'Content Log'!$AC$5:$AC$504,"&lt;="&amp;AC412))</f>
        <v/>
      </c>
      <c r="AE412" s="51" t="str">
        <f aca="false">IF(A412="","",IFERROR(INDEX(Setup!$N$9:$N$14,MATCH(O412,Setup!$M$9:$M$14,0))&amp;" ","")&amp;IF(C412="","",TEXT(C412,"h:mm AM/PM")&amp;" ")&amp;D412&amp;IF(H412="",""," · "&amp;H412))</f>
        <v/>
      </c>
      <c r="AF412" s="51" t="str">
        <f aca="false">IF(OR(A412="",AA412=""),"",IF(AND(A412&gt;=Dashboard!$G$4,A412&lt;=Dashboard!$I$4),AA412+ROW()/10^9,""))</f>
        <v/>
      </c>
      <c r="AG412" s="51" t="str">
        <f aca="false">IF(A412="","",WEEKDAY(A412,2))</f>
        <v/>
      </c>
    </row>
    <row r="413" customFormat="false" ht="15" hidden="false" customHeight="false" outlineLevel="0" collapsed="false">
      <c r="A413" s="43"/>
      <c r="B413" s="11" t="str">
        <f aca="false">IF(A413="","",TEXT(A413,"ddd"))</f>
        <v/>
      </c>
      <c r="C413" s="44"/>
      <c r="D413" s="16"/>
      <c r="E413" s="16"/>
      <c r="F413" s="16"/>
      <c r="G413" s="16"/>
      <c r="H413" s="45"/>
      <c r="I413" s="45"/>
      <c r="J413" s="11" t="str">
        <f aca="false">IF(I413="","",LEN(I413))</f>
        <v/>
      </c>
      <c r="K413" s="16"/>
      <c r="L413" s="16"/>
      <c r="M413" s="11" t="str">
        <f aca="false">IF(L413="","",IFERROR(INDEX('Hashtag Bank'!$E$5:$E$104,MATCH(L413,'Hashtag Bank'!$B$5:$B$104,0)),""))</f>
        <v/>
      </c>
      <c r="N413" s="16"/>
      <c r="O413" s="16"/>
      <c r="P413" s="16"/>
      <c r="Q413" s="46" t="str">
        <f aca="true">IF(A413&amp;H413="","",TRIM(IF(AND(A413&lt;&gt;"",A413&lt;TODAY(),O413&lt;&gt;"Published",O413&lt;&gt;"Repurpose"),"⚠ Overdue ","")&amp;IF(AND(J413&lt;&gt;"",D413&lt;&gt;"",IFERROR(J413&gt;INDEX(Setup!$E$9:$E$18,MATCH(D413,Setup!$B$9:$B$18,0)),FALSE())),"✂ Caption too long ","")&amp;IF(AND(M413&lt;&gt;"",D413&lt;&gt;"",IFERROR(M413&gt;INDEX(Setup!$F$9:$F$18,MATCH(D413,Setup!$B$9:$B$18,0)),FALSE())),"# Too many tags","")))</f>
        <v/>
      </c>
      <c r="R413" s="16"/>
      <c r="S413" s="19"/>
      <c r="T413" s="19"/>
      <c r="U413" s="19"/>
      <c r="V413" s="19"/>
      <c r="W413" s="19"/>
      <c r="X413" s="19"/>
      <c r="Y413" s="19"/>
      <c r="Z413" s="47" t="str">
        <f aca="false">IF(COUNT(U413:X413)=0,"",SUM(U413:X413))</f>
        <v/>
      </c>
      <c r="AA413" s="48" t="str">
        <f aca="false">IF(OR(Z413="",N(T413)=0),"",Z413/T413)</f>
        <v/>
      </c>
      <c r="AB413" s="45"/>
      <c r="AC413" s="51" t="str">
        <f aca="false">IF(A413="","",A413+N(C413)+ROW()/10^7)</f>
        <v/>
      </c>
      <c r="AD413" s="51" t="str">
        <f aca="false">IF(A413="","",TEXT(A413,"0")&amp;"|"&amp;COUNTIFS('Content Log'!$A$5:$A$504,A413,'Content Log'!$AC$5:$AC$504,"&lt;="&amp;AC413))</f>
        <v/>
      </c>
      <c r="AE413" s="51" t="str">
        <f aca="false">IF(A413="","",IFERROR(INDEX(Setup!$N$9:$N$14,MATCH(O413,Setup!$M$9:$M$14,0))&amp;" ","")&amp;IF(C413="","",TEXT(C413,"h:mm AM/PM")&amp;" ")&amp;D413&amp;IF(H413="",""," · "&amp;H413))</f>
        <v/>
      </c>
      <c r="AF413" s="51" t="str">
        <f aca="false">IF(OR(A413="",AA413=""),"",IF(AND(A413&gt;=Dashboard!$G$4,A413&lt;=Dashboard!$I$4),AA413+ROW()/10^9,""))</f>
        <v/>
      </c>
      <c r="AG413" s="51" t="str">
        <f aca="false">IF(A413="","",WEEKDAY(A413,2))</f>
        <v/>
      </c>
    </row>
    <row r="414" customFormat="false" ht="15" hidden="false" customHeight="false" outlineLevel="0" collapsed="false">
      <c r="A414" s="43"/>
      <c r="B414" s="11" t="str">
        <f aca="false">IF(A414="","",TEXT(A414,"ddd"))</f>
        <v/>
      </c>
      <c r="C414" s="44"/>
      <c r="D414" s="16"/>
      <c r="E414" s="16"/>
      <c r="F414" s="16"/>
      <c r="G414" s="16"/>
      <c r="H414" s="45"/>
      <c r="I414" s="45"/>
      <c r="J414" s="11" t="str">
        <f aca="false">IF(I414="","",LEN(I414))</f>
        <v/>
      </c>
      <c r="K414" s="16"/>
      <c r="L414" s="16"/>
      <c r="M414" s="11" t="str">
        <f aca="false">IF(L414="","",IFERROR(INDEX('Hashtag Bank'!$E$5:$E$104,MATCH(L414,'Hashtag Bank'!$B$5:$B$104,0)),""))</f>
        <v/>
      </c>
      <c r="N414" s="16"/>
      <c r="O414" s="16"/>
      <c r="P414" s="16"/>
      <c r="Q414" s="46" t="str">
        <f aca="true">IF(A414&amp;H414="","",TRIM(IF(AND(A414&lt;&gt;"",A414&lt;TODAY(),O414&lt;&gt;"Published",O414&lt;&gt;"Repurpose"),"⚠ Overdue ","")&amp;IF(AND(J414&lt;&gt;"",D414&lt;&gt;"",IFERROR(J414&gt;INDEX(Setup!$E$9:$E$18,MATCH(D414,Setup!$B$9:$B$18,0)),FALSE())),"✂ Caption too long ","")&amp;IF(AND(M414&lt;&gt;"",D414&lt;&gt;"",IFERROR(M414&gt;INDEX(Setup!$F$9:$F$18,MATCH(D414,Setup!$B$9:$B$18,0)),FALSE())),"# Too many tags","")))</f>
        <v/>
      </c>
      <c r="R414" s="16"/>
      <c r="S414" s="19"/>
      <c r="T414" s="19"/>
      <c r="U414" s="19"/>
      <c r="V414" s="19"/>
      <c r="W414" s="19"/>
      <c r="X414" s="19"/>
      <c r="Y414" s="19"/>
      <c r="Z414" s="47" t="str">
        <f aca="false">IF(COUNT(U414:X414)=0,"",SUM(U414:X414))</f>
        <v/>
      </c>
      <c r="AA414" s="48" t="str">
        <f aca="false">IF(OR(Z414="",N(T414)=0),"",Z414/T414)</f>
        <v/>
      </c>
      <c r="AB414" s="45"/>
      <c r="AC414" s="51" t="str">
        <f aca="false">IF(A414="","",A414+N(C414)+ROW()/10^7)</f>
        <v/>
      </c>
      <c r="AD414" s="51" t="str">
        <f aca="false">IF(A414="","",TEXT(A414,"0")&amp;"|"&amp;COUNTIFS('Content Log'!$A$5:$A$504,A414,'Content Log'!$AC$5:$AC$504,"&lt;="&amp;AC414))</f>
        <v/>
      </c>
      <c r="AE414" s="51" t="str">
        <f aca="false">IF(A414="","",IFERROR(INDEX(Setup!$N$9:$N$14,MATCH(O414,Setup!$M$9:$M$14,0))&amp;" ","")&amp;IF(C414="","",TEXT(C414,"h:mm AM/PM")&amp;" ")&amp;D414&amp;IF(H414="",""," · "&amp;H414))</f>
        <v/>
      </c>
      <c r="AF414" s="51" t="str">
        <f aca="false">IF(OR(A414="",AA414=""),"",IF(AND(A414&gt;=Dashboard!$G$4,A414&lt;=Dashboard!$I$4),AA414+ROW()/10^9,""))</f>
        <v/>
      </c>
      <c r="AG414" s="51" t="str">
        <f aca="false">IF(A414="","",WEEKDAY(A414,2))</f>
        <v/>
      </c>
    </row>
    <row r="415" customFormat="false" ht="15" hidden="false" customHeight="false" outlineLevel="0" collapsed="false">
      <c r="A415" s="43"/>
      <c r="B415" s="11" t="str">
        <f aca="false">IF(A415="","",TEXT(A415,"ddd"))</f>
        <v/>
      </c>
      <c r="C415" s="44"/>
      <c r="D415" s="16"/>
      <c r="E415" s="16"/>
      <c r="F415" s="16"/>
      <c r="G415" s="16"/>
      <c r="H415" s="45"/>
      <c r="I415" s="45"/>
      <c r="J415" s="11" t="str">
        <f aca="false">IF(I415="","",LEN(I415))</f>
        <v/>
      </c>
      <c r="K415" s="16"/>
      <c r="L415" s="16"/>
      <c r="M415" s="11" t="str">
        <f aca="false">IF(L415="","",IFERROR(INDEX('Hashtag Bank'!$E$5:$E$104,MATCH(L415,'Hashtag Bank'!$B$5:$B$104,0)),""))</f>
        <v/>
      </c>
      <c r="N415" s="16"/>
      <c r="O415" s="16"/>
      <c r="P415" s="16"/>
      <c r="Q415" s="46" t="str">
        <f aca="true">IF(A415&amp;H415="","",TRIM(IF(AND(A415&lt;&gt;"",A415&lt;TODAY(),O415&lt;&gt;"Published",O415&lt;&gt;"Repurpose"),"⚠ Overdue ","")&amp;IF(AND(J415&lt;&gt;"",D415&lt;&gt;"",IFERROR(J415&gt;INDEX(Setup!$E$9:$E$18,MATCH(D415,Setup!$B$9:$B$18,0)),FALSE())),"✂ Caption too long ","")&amp;IF(AND(M415&lt;&gt;"",D415&lt;&gt;"",IFERROR(M415&gt;INDEX(Setup!$F$9:$F$18,MATCH(D415,Setup!$B$9:$B$18,0)),FALSE())),"# Too many tags","")))</f>
        <v/>
      </c>
      <c r="R415" s="16"/>
      <c r="S415" s="19"/>
      <c r="T415" s="19"/>
      <c r="U415" s="19"/>
      <c r="V415" s="19"/>
      <c r="W415" s="19"/>
      <c r="X415" s="19"/>
      <c r="Y415" s="19"/>
      <c r="Z415" s="47" t="str">
        <f aca="false">IF(COUNT(U415:X415)=0,"",SUM(U415:X415))</f>
        <v/>
      </c>
      <c r="AA415" s="48" t="str">
        <f aca="false">IF(OR(Z415="",N(T415)=0),"",Z415/T415)</f>
        <v/>
      </c>
      <c r="AB415" s="45"/>
      <c r="AC415" s="51" t="str">
        <f aca="false">IF(A415="","",A415+N(C415)+ROW()/10^7)</f>
        <v/>
      </c>
      <c r="AD415" s="51" t="str">
        <f aca="false">IF(A415="","",TEXT(A415,"0")&amp;"|"&amp;COUNTIFS('Content Log'!$A$5:$A$504,A415,'Content Log'!$AC$5:$AC$504,"&lt;="&amp;AC415))</f>
        <v/>
      </c>
      <c r="AE415" s="51" t="str">
        <f aca="false">IF(A415="","",IFERROR(INDEX(Setup!$N$9:$N$14,MATCH(O415,Setup!$M$9:$M$14,0))&amp;" ","")&amp;IF(C415="","",TEXT(C415,"h:mm AM/PM")&amp;" ")&amp;D415&amp;IF(H415="",""," · "&amp;H415))</f>
        <v/>
      </c>
      <c r="AF415" s="51" t="str">
        <f aca="false">IF(OR(A415="",AA415=""),"",IF(AND(A415&gt;=Dashboard!$G$4,A415&lt;=Dashboard!$I$4),AA415+ROW()/10^9,""))</f>
        <v/>
      </c>
      <c r="AG415" s="51" t="str">
        <f aca="false">IF(A415="","",WEEKDAY(A415,2))</f>
        <v/>
      </c>
    </row>
    <row r="416" customFormat="false" ht="15" hidden="false" customHeight="false" outlineLevel="0" collapsed="false">
      <c r="A416" s="43"/>
      <c r="B416" s="11" t="str">
        <f aca="false">IF(A416="","",TEXT(A416,"ddd"))</f>
        <v/>
      </c>
      <c r="C416" s="44"/>
      <c r="D416" s="16"/>
      <c r="E416" s="16"/>
      <c r="F416" s="16"/>
      <c r="G416" s="16"/>
      <c r="H416" s="45"/>
      <c r="I416" s="45"/>
      <c r="J416" s="11" t="str">
        <f aca="false">IF(I416="","",LEN(I416))</f>
        <v/>
      </c>
      <c r="K416" s="16"/>
      <c r="L416" s="16"/>
      <c r="M416" s="11" t="str">
        <f aca="false">IF(L416="","",IFERROR(INDEX('Hashtag Bank'!$E$5:$E$104,MATCH(L416,'Hashtag Bank'!$B$5:$B$104,0)),""))</f>
        <v/>
      </c>
      <c r="N416" s="16"/>
      <c r="O416" s="16"/>
      <c r="P416" s="16"/>
      <c r="Q416" s="46" t="str">
        <f aca="true">IF(A416&amp;H416="","",TRIM(IF(AND(A416&lt;&gt;"",A416&lt;TODAY(),O416&lt;&gt;"Published",O416&lt;&gt;"Repurpose"),"⚠ Overdue ","")&amp;IF(AND(J416&lt;&gt;"",D416&lt;&gt;"",IFERROR(J416&gt;INDEX(Setup!$E$9:$E$18,MATCH(D416,Setup!$B$9:$B$18,0)),FALSE())),"✂ Caption too long ","")&amp;IF(AND(M416&lt;&gt;"",D416&lt;&gt;"",IFERROR(M416&gt;INDEX(Setup!$F$9:$F$18,MATCH(D416,Setup!$B$9:$B$18,0)),FALSE())),"# Too many tags","")))</f>
        <v/>
      </c>
      <c r="R416" s="16"/>
      <c r="S416" s="19"/>
      <c r="T416" s="19"/>
      <c r="U416" s="19"/>
      <c r="V416" s="19"/>
      <c r="W416" s="19"/>
      <c r="X416" s="19"/>
      <c r="Y416" s="19"/>
      <c r="Z416" s="47" t="str">
        <f aca="false">IF(COUNT(U416:X416)=0,"",SUM(U416:X416))</f>
        <v/>
      </c>
      <c r="AA416" s="48" t="str">
        <f aca="false">IF(OR(Z416="",N(T416)=0),"",Z416/T416)</f>
        <v/>
      </c>
      <c r="AB416" s="45"/>
      <c r="AC416" s="51" t="str">
        <f aca="false">IF(A416="","",A416+N(C416)+ROW()/10^7)</f>
        <v/>
      </c>
      <c r="AD416" s="51" t="str">
        <f aca="false">IF(A416="","",TEXT(A416,"0")&amp;"|"&amp;COUNTIFS('Content Log'!$A$5:$A$504,A416,'Content Log'!$AC$5:$AC$504,"&lt;="&amp;AC416))</f>
        <v/>
      </c>
      <c r="AE416" s="51" t="str">
        <f aca="false">IF(A416="","",IFERROR(INDEX(Setup!$N$9:$N$14,MATCH(O416,Setup!$M$9:$M$14,0))&amp;" ","")&amp;IF(C416="","",TEXT(C416,"h:mm AM/PM")&amp;" ")&amp;D416&amp;IF(H416="",""," · "&amp;H416))</f>
        <v/>
      </c>
      <c r="AF416" s="51" t="str">
        <f aca="false">IF(OR(A416="",AA416=""),"",IF(AND(A416&gt;=Dashboard!$G$4,A416&lt;=Dashboard!$I$4),AA416+ROW()/10^9,""))</f>
        <v/>
      </c>
      <c r="AG416" s="51" t="str">
        <f aca="false">IF(A416="","",WEEKDAY(A416,2))</f>
        <v/>
      </c>
    </row>
    <row r="417" customFormat="false" ht="15" hidden="false" customHeight="false" outlineLevel="0" collapsed="false">
      <c r="A417" s="43"/>
      <c r="B417" s="11" t="str">
        <f aca="false">IF(A417="","",TEXT(A417,"ddd"))</f>
        <v/>
      </c>
      <c r="C417" s="44"/>
      <c r="D417" s="16"/>
      <c r="E417" s="16"/>
      <c r="F417" s="16"/>
      <c r="G417" s="16"/>
      <c r="H417" s="45"/>
      <c r="I417" s="45"/>
      <c r="J417" s="11" t="str">
        <f aca="false">IF(I417="","",LEN(I417))</f>
        <v/>
      </c>
      <c r="K417" s="16"/>
      <c r="L417" s="16"/>
      <c r="M417" s="11" t="str">
        <f aca="false">IF(L417="","",IFERROR(INDEX('Hashtag Bank'!$E$5:$E$104,MATCH(L417,'Hashtag Bank'!$B$5:$B$104,0)),""))</f>
        <v/>
      </c>
      <c r="N417" s="16"/>
      <c r="O417" s="16"/>
      <c r="P417" s="16"/>
      <c r="Q417" s="46" t="str">
        <f aca="true">IF(A417&amp;H417="","",TRIM(IF(AND(A417&lt;&gt;"",A417&lt;TODAY(),O417&lt;&gt;"Published",O417&lt;&gt;"Repurpose"),"⚠ Overdue ","")&amp;IF(AND(J417&lt;&gt;"",D417&lt;&gt;"",IFERROR(J417&gt;INDEX(Setup!$E$9:$E$18,MATCH(D417,Setup!$B$9:$B$18,0)),FALSE())),"✂ Caption too long ","")&amp;IF(AND(M417&lt;&gt;"",D417&lt;&gt;"",IFERROR(M417&gt;INDEX(Setup!$F$9:$F$18,MATCH(D417,Setup!$B$9:$B$18,0)),FALSE())),"# Too many tags","")))</f>
        <v/>
      </c>
      <c r="R417" s="16"/>
      <c r="S417" s="19"/>
      <c r="T417" s="19"/>
      <c r="U417" s="19"/>
      <c r="V417" s="19"/>
      <c r="W417" s="19"/>
      <c r="X417" s="19"/>
      <c r="Y417" s="19"/>
      <c r="Z417" s="47" t="str">
        <f aca="false">IF(COUNT(U417:X417)=0,"",SUM(U417:X417))</f>
        <v/>
      </c>
      <c r="AA417" s="48" t="str">
        <f aca="false">IF(OR(Z417="",N(T417)=0),"",Z417/T417)</f>
        <v/>
      </c>
      <c r="AB417" s="45"/>
      <c r="AC417" s="51" t="str">
        <f aca="false">IF(A417="","",A417+N(C417)+ROW()/10^7)</f>
        <v/>
      </c>
      <c r="AD417" s="51" t="str">
        <f aca="false">IF(A417="","",TEXT(A417,"0")&amp;"|"&amp;COUNTIFS('Content Log'!$A$5:$A$504,A417,'Content Log'!$AC$5:$AC$504,"&lt;="&amp;AC417))</f>
        <v/>
      </c>
      <c r="AE417" s="51" t="str">
        <f aca="false">IF(A417="","",IFERROR(INDEX(Setup!$N$9:$N$14,MATCH(O417,Setup!$M$9:$M$14,0))&amp;" ","")&amp;IF(C417="","",TEXT(C417,"h:mm AM/PM")&amp;" ")&amp;D417&amp;IF(H417="",""," · "&amp;H417))</f>
        <v/>
      </c>
      <c r="AF417" s="51" t="str">
        <f aca="false">IF(OR(A417="",AA417=""),"",IF(AND(A417&gt;=Dashboard!$G$4,A417&lt;=Dashboard!$I$4),AA417+ROW()/10^9,""))</f>
        <v/>
      </c>
      <c r="AG417" s="51" t="str">
        <f aca="false">IF(A417="","",WEEKDAY(A417,2))</f>
        <v/>
      </c>
    </row>
    <row r="418" customFormat="false" ht="15" hidden="false" customHeight="false" outlineLevel="0" collapsed="false">
      <c r="A418" s="43"/>
      <c r="B418" s="11" t="str">
        <f aca="false">IF(A418="","",TEXT(A418,"ddd"))</f>
        <v/>
      </c>
      <c r="C418" s="44"/>
      <c r="D418" s="16"/>
      <c r="E418" s="16"/>
      <c r="F418" s="16"/>
      <c r="G418" s="16"/>
      <c r="H418" s="45"/>
      <c r="I418" s="45"/>
      <c r="J418" s="11" t="str">
        <f aca="false">IF(I418="","",LEN(I418))</f>
        <v/>
      </c>
      <c r="K418" s="16"/>
      <c r="L418" s="16"/>
      <c r="M418" s="11" t="str">
        <f aca="false">IF(L418="","",IFERROR(INDEX('Hashtag Bank'!$E$5:$E$104,MATCH(L418,'Hashtag Bank'!$B$5:$B$104,0)),""))</f>
        <v/>
      </c>
      <c r="N418" s="16"/>
      <c r="O418" s="16"/>
      <c r="P418" s="16"/>
      <c r="Q418" s="46" t="str">
        <f aca="true">IF(A418&amp;H418="","",TRIM(IF(AND(A418&lt;&gt;"",A418&lt;TODAY(),O418&lt;&gt;"Published",O418&lt;&gt;"Repurpose"),"⚠ Overdue ","")&amp;IF(AND(J418&lt;&gt;"",D418&lt;&gt;"",IFERROR(J418&gt;INDEX(Setup!$E$9:$E$18,MATCH(D418,Setup!$B$9:$B$18,0)),FALSE())),"✂ Caption too long ","")&amp;IF(AND(M418&lt;&gt;"",D418&lt;&gt;"",IFERROR(M418&gt;INDEX(Setup!$F$9:$F$18,MATCH(D418,Setup!$B$9:$B$18,0)),FALSE())),"# Too many tags","")))</f>
        <v/>
      </c>
      <c r="R418" s="16"/>
      <c r="S418" s="19"/>
      <c r="T418" s="19"/>
      <c r="U418" s="19"/>
      <c r="V418" s="19"/>
      <c r="W418" s="19"/>
      <c r="X418" s="19"/>
      <c r="Y418" s="19"/>
      <c r="Z418" s="47" t="str">
        <f aca="false">IF(COUNT(U418:X418)=0,"",SUM(U418:X418))</f>
        <v/>
      </c>
      <c r="AA418" s="48" t="str">
        <f aca="false">IF(OR(Z418="",N(T418)=0),"",Z418/T418)</f>
        <v/>
      </c>
      <c r="AB418" s="45"/>
      <c r="AC418" s="51" t="str">
        <f aca="false">IF(A418="","",A418+N(C418)+ROW()/10^7)</f>
        <v/>
      </c>
      <c r="AD418" s="51" t="str">
        <f aca="false">IF(A418="","",TEXT(A418,"0")&amp;"|"&amp;COUNTIFS('Content Log'!$A$5:$A$504,A418,'Content Log'!$AC$5:$AC$504,"&lt;="&amp;AC418))</f>
        <v/>
      </c>
      <c r="AE418" s="51" t="str">
        <f aca="false">IF(A418="","",IFERROR(INDEX(Setup!$N$9:$N$14,MATCH(O418,Setup!$M$9:$M$14,0))&amp;" ","")&amp;IF(C418="","",TEXT(C418,"h:mm AM/PM")&amp;" ")&amp;D418&amp;IF(H418="",""," · "&amp;H418))</f>
        <v/>
      </c>
      <c r="AF418" s="51" t="str">
        <f aca="false">IF(OR(A418="",AA418=""),"",IF(AND(A418&gt;=Dashboard!$G$4,A418&lt;=Dashboard!$I$4),AA418+ROW()/10^9,""))</f>
        <v/>
      </c>
      <c r="AG418" s="51" t="str">
        <f aca="false">IF(A418="","",WEEKDAY(A418,2))</f>
        <v/>
      </c>
    </row>
    <row r="419" customFormat="false" ht="15" hidden="false" customHeight="false" outlineLevel="0" collapsed="false">
      <c r="A419" s="43"/>
      <c r="B419" s="11" t="str">
        <f aca="false">IF(A419="","",TEXT(A419,"ddd"))</f>
        <v/>
      </c>
      <c r="C419" s="44"/>
      <c r="D419" s="16"/>
      <c r="E419" s="16"/>
      <c r="F419" s="16"/>
      <c r="G419" s="16"/>
      <c r="H419" s="45"/>
      <c r="I419" s="45"/>
      <c r="J419" s="11" t="str">
        <f aca="false">IF(I419="","",LEN(I419))</f>
        <v/>
      </c>
      <c r="K419" s="16"/>
      <c r="L419" s="16"/>
      <c r="M419" s="11" t="str">
        <f aca="false">IF(L419="","",IFERROR(INDEX('Hashtag Bank'!$E$5:$E$104,MATCH(L419,'Hashtag Bank'!$B$5:$B$104,0)),""))</f>
        <v/>
      </c>
      <c r="N419" s="16"/>
      <c r="O419" s="16"/>
      <c r="P419" s="16"/>
      <c r="Q419" s="46" t="str">
        <f aca="true">IF(A419&amp;H419="","",TRIM(IF(AND(A419&lt;&gt;"",A419&lt;TODAY(),O419&lt;&gt;"Published",O419&lt;&gt;"Repurpose"),"⚠ Overdue ","")&amp;IF(AND(J419&lt;&gt;"",D419&lt;&gt;"",IFERROR(J419&gt;INDEX(Setup!$E$9:$E$18,MATCH(D419,Setup!$B$9:$B$18,0)),FALSE())),"✂ Caption too long ","")&amp;IF(AND(M419&lt;&gt;"",D419&lt;&gt;"",IFERROR(M419&gt;INDEX(Setup!$F$9:$F$18,MATCH(D419,Setup!$B$9:$B$18,0)),FALSE())),"# Too many tags","")))</f>
        <v/>
      </c>
      <c r="R419" s="16"/>
      <c r="S419" s="19"/>
      <c r="T419" s="19"/>
      <c r="U419" s="19"/>
      <c r="V419" s="19"/>
      <c r="W419" s="19"/>
      <c r="X419" s="19"/>
      <c r="Y419" s="19"/>
      <c r="Z419" s="47" t="str">
        <f aca="false">IF(COUNT(U419:X419)=0,"",SUM(U419:X419))</f>
        <v/>
      </c>
      <c r="AA419" s="48" t="str">
        <f aca="false">IF(OR(Z419="",N(T419)=0),"",Z419/T419)</f>
        <v/>
      </c>
      <c r="AB419" s="45"/>
      <c r="AC419" s="51" t="str">
        <f aca="false">IF(A419="","",A419+N(C419)+ROW()/10^7)</f>
        <v/>
      </c>
      <c r="AD419" s="51" t="str">
        <f aca="false">IF(A419="","",TEXT(A419,"0")&amp;"|"&amp;COUNTIFS('Content Log'!$A$5:$A$504,A419,'Content Log'!$AC$5:$AC$504,"&lt;="&amp;AC419))</f>
        <v/>
      </c>
      <c r="AE419" s="51" t="str">
        <f aca="false">IF(A419="","",IFERROR(INDEX(Setup!$N$9:$N$14,MATCH(O419,Setup!$M$9:$M$14,0))&amp;" ","")&amp;IF(C419="","",TEXT(C419,"h:mm AM/PM")&amp;" ")&amp;D419&amp;IF(H419="",""," · "&amp;H419))</f>
        <v/>
      </c>
      <c r="AF419" s="51" t="str">
        <f aca="false">IF(OR(A419="",AA419=""),"",IF(AND(A419&gt;=Dashboard!$G$4,A419&lt;=Dashboard!$I$4),AA419+ROW()/10^9,""))</f>
        <v/>
      </c>
      <c r="AG419" s="51" t="str">
        <f aca="false">IF(A419="","",WEEKDAY(A419,2))</f>
        <v/>
      </c>
    </row>
    <row r="420" customFormat="false" ht="15" hidden="false" customHeight="false" outlineLevel="0" collapsed="false">
      <c r="A420" s="43"/>
      <c r="B420" s="11" t="str">
        <f aca="false">IF(A420="","",TEXT(A420,"ddd"))</f>
        <v/>
      </c>
      <c r="C420" s="44"/>
      <c r="D420" s="16"/>
      <c r="E420" s="16"/>
      <c r="F420" s="16"/>
      <c r="G420" s="16"/>
      <c r="H420" s="45"/>
      <c r="I420" s="45"/>
      <c r="J420" s="11" t="str">
        <f aca="false">IF(I420="","",LEN(I420))</f>
        <v/>
      </c>
      <c r="K420" s="16"/>
      <c r="L420" s="16"/>
      <c r="M420" s="11" t="str">
        <f aca="false">IF(L420="","",IFERROR(INDEX('Hashtag Bank'!$E$5:$E$104,MATCH(L420,'Hashtag Bank'!$B$5:$B$104,0)),""))</f>
        <v/>
      </c>
      <c r="N420" s="16"/>
      <c r="O420" s="16"/>
      <c r="P420" s="16"/>
      <c r="Q420" s="46" t="str">
        <f aca="true">IF(A420&amp;H420="","",TRIM(IF(AND(A420&lt;&gt;"",A420&lt;TODAY(),O420&lt;&gt;"Published",O420&lt;&gt;"Repurpose"),"⚠ Overdue ","")&amp;IF(AND(J420&lt;&gt;"",D420&lt;&gt;"",IFERROR(J420&gt;INDEX(Setup!$E$9:$E$18,MATCH(D420,Setup!$B$9:$B$18,0)),FALSE())),"✂ Caption too long ","")&amp;IF(AND(M420&lt;&gt;"",D420&lt;&gt;"",IFERROR(M420&gt;INDEX(Setup!$F$9:$F$18,MATCH(D420,Setup!$B$9:$B$18,0)),FALSE())),"# Too many tags","")))</f>
        <v/>
      </c>
      <c r="R420" s="16"/>
      <c r="S420" s="19"/>
      <c r="T420" s="19"/>
      <c r="U420" s="19"/>
      <c r="V420" s="19"/>
      <c r="W420" s="19"/>
      <c r="X420" s="19"/>
      <c r="Y420" s="19"/>
      <c r="Z420" s="47" t="str">
        <f aca="false">IF(COUNT(U420:X420)=0,"",SUM(U420:X420))</f>
        <v/>
      </c>
      <c r="AA420" s="48" t="str">
        <f aca="false">IF(OR(Z420="",N(T420)=0),"",Z420/T420)</f>
        <v/>
      </c>
      <c r="AB420" s="45"/>
      <c r="AC420" s="51" t="str">
        <f aca="false">IF(A420="","",A420+N(C420)+ROW()/10^7)</f>
        <v/>
      </c>
      <c r="AD420" s="51" t="str">
        <f aca="false">IF(A420="","",TEXT(A420,"0")&amp;"|"&amp;COUNTIFS('Content Log'!$A$5:$A$504,A420,'Content Log'!$AC$5:$AC$504,"&lt;="&amp;AC420))</f>
        <v/>
      </c>
      <c r="AE420" s="51" t="str">
        <f aca="false">IF(A420="","",IFERROR(INDEX(Setup!$N$9:$N$14,MATCH(O420,Setup!$M$9:$M$14,0))&amp;" ","")&amp;IF(C420="","",TEXT(C420,"h:mm AM/PM")&amp;" ")&amp;D420&amp;IF(H420="",""," · "&amp;H420))</f>
        <v/>
      </c>
      <c r="AF420" s="51" t="str">
        <f aca="false">IF(OR(A420="",AA420=""),"",IF(AND(A420&gt;=Dashboard!$G$4,A420&lt;=Dashboard!$I$4),AA420+ROW()/10^9,""))</f>
        <v/>
      </c>
      <c r="AG420" s="51" t="str">
        <f aca="false">IF(A420="","",WEEKDAY(A420,2))</f>
        <v/>
      </c>
    </row>
    <row r="421" customFormat="false" ht="15" hidden="false" customHeight="false" outlineLevel="0" collapsed="false">
      <c r="A421" s="43"/>
      <c r="B421" s="11" t="str">
        <f aca="false">IF(A421="","",TEXT(A421,"ddd"))</f>
        <v/>
      </c>
      <c r="C421" s="44"/>
      <c r="D421" s="16"/>
      <c r="E421" s="16"/>
      <c r="F421" s="16"/>
      <c r="G421" s="16"/>
      <c r="H421" s="45"/>
      <c r="I421" s="45"/>
      <c r="J421" s="11" t="str">
        <f aca="false">IF(I421="","",LEN(I421))</f>
        <v/>
      </c>
      <c r="K421" s="16"/>
      <c r="L421" s="16"/>
      <c r="M421" s="11" t="str">
        <f aca="false">IF(L421="","",IFERROR(INDEX('Hashtag Bank'!$E$5:$E$104,MATCH(L421,'Hashtag Bank'!$B$5:$B$104,0)),""))</f>
        <v/>
      </c>
      <c r="N421" s="16"/>
      <c r="O421" s="16"/>
      <c r="P421" s="16"/>
      <c r="Q421" s="46" t="str">
        <f aca="true">IF(A421&amp;H421="","",TRIM(IF(AND(A421&lt;&gt;"",A421&lt;TODAY(),O421&lt;&gt;"Published",O421&lt;&gt;"Repurpose"),"⚠ Overdue ","")&amp;IF(AND(J421&lt;&gt;"",D421&lt;&gt;"",IFERROR(J421&gt;INDEX(Setup!$E$9:$E$18,MATCH(D421,Setup!$B$9:$B$18,0)),FALSE())),"✂ Caption too long ","")&amp;IF(AND(M421&lt;&gt;"",D421&lt;&gt;"",IFERROR(M421&gt;INDEX(Setup!$F$9:$F$18,MATCH(D421,Setup!$B$9:$B$18,0)),FALSE())),"# Too many tags","")))</f>
        <v/>
      </c>
      <c r="R421" s="16"/>
      <c r="S421" s="19"/>
      <c r="T421" s="19"/>
      <c r="U421" s="19"/>
      <c r="V421" s="19"/>
      <c r="W421" s="19"/>
      <c r="X421" s="19"/>
      <c r="Y421" s="19"/>
      <c r="Z421" s="47" t="str">
        <f aca="false">IF(COUNT(U421:X421)=0,"",SUM(U421:X421))</f>
        <v/>
      </c>
      <c r="AA421" s="48" t="str">
        <f aca="false">IF(OR(Z421="",N(T421)=0),"",Z421/T421)</f>
        <v/>
      </c>
      <c r="AB421" s="45"/>
      <c r="AC421" s="51" t="str">
        <f aca="false">IF(A421="","",A421+N(C421)+ROW()/10^7)</f>
        <v/>
      </c>
      <c r="AD421" s="51" t="str">
        <f aca="false">IF(A421="","",TEXT(A421,"0")&amp;"|"&amp;COUNTIFS('Content Log'!$A$5:$A$504,A421,'Content Log'!$AC$5:$AC$504,"&lt;="&amp;AC421))</f>
        <v/>
      </c>
      <c r="AE421" s="51" t="str">
        <f aca="false">IF(A421="","",IFERROR(INDEX(Setup!$N$9:$N$14,MATCH(O421,Setup!$M$9:$M$14,0))&amp;" ","")&amp;IF(C421="","",TEXT(C421,"h:mm AM/PM")&amp;" ")&amp;D421&amp;IF(H421="",""," · "&amp;H421))</f>
        <v/>
      </c>
      <c r="AF421" s="51" t="str">
        <f aca="false">IF(OR(A421="",AA421=""),"",IF(AND(A421&gt;=Dashboard!$G$4,A421&lt;=Dashboard!$I$4),AA421+ROW()/10^9,""))</f>
        <v/>
      </c>
      <c r="AG421" s="51" t="str">
        <f aca="false">IF(A421="","",WEEKDAY(A421,2))</f>
        <v/>
      </c>
    </row>
    <row r="422" customFormat="false" ht="15" hidden="false" customHeight="false" outlineLevel="0" collapsed="false">
      <c r="A422" s="43"/>
      <c r="B422" s="11" t="str">
        <f aca="false">IF(A422="","",TEXT(A422,"ddd"))</f>
        <v/>
      </c>
      <c r="C422" s="44"/>
      <c r="D422" s="16"/>
      <c r="E422" s="16"/>
      <c r="F422" s="16"/>
      <c r="G422" s="16"/>
      <c r="H422" s="45"/>
      <c r="I422" s="45"/>
      <c r="J422" s="11" t="str">
        <f aca="false">IF(I422="","",LEN(I422))</f>
        <v/>
      </c>
      <c r="K422" s="16"/>
      <c r="L422" s="16"/>
      <c r="M422" s="11" t="str">
        <f aca="false">IF(L422="","",IFERROR(INDEX('Hashtag Bank'!$E$5:$E$104,MATCH(L422,'Hashtag Bank'!$B$5:$B$104,0)),""))</f>
        <v/>
      </c>
      <c r="N422" s="16"/>
      <c r="O422" s="16"/>
      <c r="P422" s="16"/>
      <c r="Q422" s="46" t="str">
        <f aca="true">IF(A422&amp;H422="","",TRIM(IF(AND(A422&lt;&gt;"",A422&lt;TODAY(),O422&lt;&gt;"Published",O422&lt;&gt;"Repurpose"),"⚠ Overdue ","")&amp;IF(AND(J422&lt;&gt;"",D422&lt;&gt;"",IFERROR(J422&gt;INDEX(Setup!$E$9:$E$18,MATCH(D422,Setup!$B$9:$B$18,0)),FALSE())),"✂ Caption too long ","")&amp;IF(AND(M422&lt;&gt;"",D422&lt;&gt;"",IFERROR(M422&gt;INDEX(Setup!$F$9:$F$18,MATCH(D422,Setup!$B$9:$B$18,0)),FALSE())),"# Too many tags","")))</f>
        <v/>
      </c>
      <c r="R422" s="16"/>
      <c r="S422" s="19"/>
      <c r="T422" s="19"/>
      <c r="U422" s="19"/>
      <c r="V422" s="19"/>
      <c r="W422" s="19"/>
      <c r="X422" s="19"/>
      <c r="Y422" s="19"/>
      <c r="Z422" s="47" t="str">
        <f aca="false">IF(COUNT(U422:X422)=0,"",SUM(U422:X422))</f>
        <v/>
      </c>
      <c r="AA422" s="48" t="str">
        <f aca="false">IF(OR(Z422="",N(T422)=0),"",Z422/T422)</f>
        <v/>
      </c>
      <c r="AB422" s="45"/>
      <c r="AC422" s="51" t="str">
        <f aca="false">IF(A422="","",A422+N(C422)+ROW()/10^7)</f>
        <v/>
      </c>
      <c r="AD422" s="51" t="str">
        <f aca="false">IF(A422="","",TEXT(A422,"0")&amp;"|"&amp;COUNTIFS('Content Log'!$A$5:$A$504,A422,'Content Log'!$AC$5:$AC$504,"&lt;="&amp;AC422))</f>
        <v/>
      </c>
      <c r="AE422" s="51" t="str">
        <f aca="false">IF(A422="","",IFERROR(INDEX(Setup!$N$9:$N$14,MATCH(O422,Setup!$M$9:$M$14,0))&amp;" ","")&amp;IF(C422="","",TEXT(C422,"h:mm AM/PM")&amp;" ")&amp;D422&amp;IF(H422="",""," · "&amp;H422))</f>
        <v/>
      </c>
      <c r="AF422" s="51" t="str">
        <f aca="false">IF(OR(A422="",AA422=""),"",IF(AND(A422&gt;=Dashboard!$G$4,A422&lt;=Dashboard!$I$4),AA422+ROW()/10^9,""))</f>
        <v/>
      </c>
      <c r="AG422" s="51" t="str">
        <f aca="false">IF(A422="","",WEEKDAY(A422,2))</f>
        <v/>
      </c>
    </row>
    <row r="423" customFormat="false" ht="15" hidden="false" customHeight="false" outlineLevel="0" collapsed="false">
      <c r="A423" s="43"/>
      <c r="B423" s="11" t="str">
        <f aca="false">IF(A423="","",TEXT(A423,"ddd"))</f>
        <v/>
      </c>
      <c r="C423" s="44"/>
      <c r="D423" s="16"/>
      <c r="E423" s="16"/>
      <c r="F423" s="16"/>
      <c r="G423" s="16"/>
      <c r="H423" s="45"/>
      <c r="I423" s="45"/>
      <c r="J423" s="11" t="str">
        <f aca="false">IF(I423="","",LEN(I423))</f>
        <v/>
      </c>
      <c r="K423" s="16"/>
      <c r="L423" s="16"/>
      <c r="M423" s="11" t="str">
        <f aca="false">IF(L423="","",IFERROR(INDEX('Hashtag Bank'!$E$5:$E$104,MATCH(L423,'Hashtag Bank'!$B$5:$B$104,0)),""))</f>
        <v/>
      </c>
      <c r="N423" s="16"/>
      <c r="O423" s="16"/>
      <c r="P423" s="16"/>
      <c r="Q423" s="46" t="str">
        <f aca="true">IF(A423&amp;H423="","",TRIM(IF(AND(A423&lt;&gt;"",A423&lt;TODAY(),O423&lt;&gt;"Published",O423&lt;&gt;"Repurpose"),"⚠ Overdue ","")&amp;IF(AND(J423&lt;&gt;"",D423&lt;&gt;"",IFERROR(J423&gt;INDEX(Setup!$E$9:$E$18,MATCH(D423,Setup!$B$9:$B$18,0)),FALSE())),"✂ Caption too long ","")&amp;IF(AND(M423&lt;&gt;"",D423&lt;&gt;"",IFERROR(M423&gt;INDEX(Setup!$F$9:$F$18,MATCH(D423,Setup!$B$9:$B$18,0)),FALSE())),"# Too many tags","")))</f>
        <v/>
      </c>
      <c r="R423" s="16"/>
      <c r="S423" s="19"/>
      <c r="T423" s="19"/>
      <c r="U423" s="19"/>
      <c r="V423" s="19"/>
      <c r="W423" s="19"/>
      <c r="X423" s="19"/>
      <c r="Y423" s="19"/>
      <c r="Z423" s="47" t="str">
        <f aca="false">IF(COUNT(U423:X423)=0,"",SUM(U423:X423))</f>
        <v/>
      </c>
      <c r="AA423" s="48" t="str">
        <f aca="false">IF(OR(Z423="",N(T423)=0),"",Z423/T423)</f>
        <v/>
      </c>
      <c r="AB423" s="45"/>
      <c r="AC423" s="51" t="str">
        <f aca="false">IF(A423="","",A423+N(C423)+ROW()/10^7)</f>
        <v/>
      </c>
      <c r="AD423" s="51" t="str">
        <f aca="false">IF(A423="","",TEXT(A423,"0")&amp;"|"&amp;COUNTIFS('Content Log'!$A$5:$A$504,A423,'Content Log'!$AC$5:$AC$504,"&lt;="&amp;AC423))</f>
        <v/>
      </c>
      <c r="AE423" s="51" t="str">
        <f aca="false">IF(A423="","",IFERROR(INDEX(Setup!$N$9:$N$14,MATCH(O423,Setup!$M$9:$M$14,0))&amp;" ","")&amp;IF(C423="","",TEXT(C423,"h:mm AM/PM")&amp;" ")&amp;D423&amp;IF(H423="",""," · "&amp;H423))</f>
        <v/>
      </c>
      <c r="AF423" s="51" t="str">
        <f aca="false">IF(OR(A423="",AA423=""),"",IF(AND(A423&gt;=Dashboard!$G$4,A423&lt;=Dashboard!$I$4),AA423+ROW()/10^9,""))</f>
        <v/>
      </c>
      <c r="AG423" s="51" t="str">
        <f aca="false">IF(A423="","",WEEKDAY(A423,2))</f>
        <v/>
      </c>
    </row>
    <row r="424" customFormat="false" ht="15" hidden="false" customHeight="false" outlineLevel="0" collapsed="false">
      <c r="A424" s="43"/>
      <c r="B424" s="11" t="str">
        <f aca="false">IF(A424="","",TEXT(A424,"ddd"))</f>
        <v/>
      </c>
      <c r="C424" s="44"/>
      <c r="D424" s="16"/>
      <c r="E424" s="16"/>
      <c r="F424" s="16"/>
      <c r="G424" s="16"/>
      <c r="H424" s="45"/>
      <c r="I424" s="45"/>
      <c r="J424" s="11" t="str">
        <f aca="false">IF(I424="","",LEN(I424))</f>
        <v/>
      </c>
      <c r="K424" s="16"/>
      <c r="L424" s="16"/>
      <c r="M424" s="11" t="str">
        <f aca="false">IF(L424="","",IFERROR(INDEX('Hashtag Bank'!$E$5:$E$104,MATCH(L424,'Hashtag Bank'!$B$5:$B$104,0)),""))</f>
        <v/>
      </c>
      <c r="N424" s="16"/>
      <c r="O424" s="16"/>
      <c r="P424" s="16"/>
      <c r="Q424" s="46" t="str">
        <f aca="true">IF(A424&amp;H424="","",TRIM(IF(AND(A424&lt;&gt;"",A424&lt;TODAY(),O424&lt;&gt;"Published",O424&lt;&gt;"Repurpose"),"⚠ Overdue ","")&amp;IF(AND(J424&lt;&gt;"",D424&lt;&gt;"",IFERROR(J424&gt;INDEX(Setup!$E$9:$E$18,MATCH(D424,Setup!$B$9:$B$18,0)),FALSE())),"✂ Caption too long ","")&amp;IF(AND(M424&lt;&gt;"",D424&lt;&gt;"",IFERROR(M424&gt;INDEX(Setup!$F$9:$F$18,MATCH(D424,Setup!$B$9:$B$18,0)),FALSE())),"# Too many tags","")))</f>
        <v/>
      </c>
      <c r="R424" s="16"/>
      <c r="S424" s="19"/>
      <c r="T424" s="19"/>
      <c r="U424" s="19"/>
      <c r="V424" s="19"/>
      <c r="W424" s="19"/>
      <c r="X424" s="19"/>
      <c r="Y424" s="19"/>
      <c r="Z424" s="47" t="str">
        <f aca="false">IF(COUNT(U424:X424)=0,"",SUM(U424:X424))</f>
        <v/>
      </c>
      <c r="AA424" s="48" t="str">
        <f aca="false">IF(OR(Z424="",N(T424)=0),"",Z424/T424)</f>
        <v/>
      </c>
      <c r="AB424" s="45"/>
      <c r="AC424" s="51" t="str">
        <f aca="false">IF(A424="","",A424+N(C424)+ROW()/10^7)</f>
        <v/>
      </c>
      <c r="AD424" s="51" t="str">
        <f aca="false">IF(A424="","",TEXT(A424,"0")&amp;"|"&amp;COUNTIFS('Content Log'!$A$5:$A$504,A424,'Content Log'!$AC$5:$AC$504,"&lt;="&amp;AC424))</f>
        <v/>
      </c>
      <c r="AE424" s="51" t="str">
        <f aca="false">IF(A424="","",IFERROR(INDEX(Setup!$N$9:$N$14,MATCH(O424,Setup!$M$9:$M$14,0))&amp;" ","")&amp;IF(C424="","",TEXT(C424,"h:mm AM/PM")&amp;" ")&amp;D424&amp;IF(H424="",""," · "&amp;H424))</f>
        <v/>
      </c>
      <c r="AF424" s="51" t="str">
        <f aca="false">IF(OR(A424="",AA424=""),"",IF(AND(A424&gt;=Dashboard!$G$4,A424&lt;=Dashboard!$I$4),AA424+ROW()/10^9,""))</f>
        <v/>
      </c>
      <c r="AG424" s="51" t="str">
        <f aca="false">IF(A424="","",WEEKDAY(A424,2))</f>
        <v/>
      </c>
    </row>
    <row r="425" customFormat="false" ht="15" hidden="false" customHeight="false" outlineLevel="0" collapsed="false">
      <c r="A425" s="43"/>
      <c r="B425" s="11" t="str">
        <f aca="false">IF(A425="","",TEXT(A425,"ddd"))</f>
        <v/>
      </c>
      <c r="C425" s="44"/>
      <c r="D425" s="16"/>
      <c r="E425" s="16"/>
      <c r="F425" s="16"/>
      <c r="G425" s="16"/>
      <c r="H425" s="45"/>
      <c r="I425" s="45"/>
      <c r="J425" s="11" t="str">
        <f aca="false">IF(I425="","",LEN(I425))</f>
        <v/>
      </c>
      <c r="K425" s="16"/>
      <c r="L425" s="16"/>
      <c r="M425" s="11" t="str">
        <f aca="false">IF(L425="","",IFERROR(INDEX('Hashtag Bank'!$E$5:$E$104,MATCH(L425,'Hashtag Bank'!$B$5:$B$104,0)),""))</f>
        <v/>
      </c>
      <c r="N425" s="16"/>
      <c r="O425" s="16"/>
      <c r="P425" s="16"/>
      <c r="Q425" s="46" t="str">
        <f aca="true">IF(A425&amp;H425="","",TRIM(IF(AND(A425&lt;&gt;"",A425&lt;TODAY(),O425&lt;&gt;"Published",O425&lt;&gt;"Repurpose"),"⚠ Overdue ","")&amp;IF(AND(J425&lt;&gt;"",D425&lt;&gt;"",IFERROR(J425&gt;INDEX(Setup!$E$9:$E$18,MATCH(D425,Setup!$B$9:$B$18,0)),FALSE())),"✂ Caption too long ","")&amp;IF(AND(M425&lt;&gt;"",D425&lt;&gt;"",IFERROR(M425&gt;INDEX(Setup!$F$9:$F$18,MATCH(D425,Setup!$B$9:$B$18,0)),FALSE())),"# Too many tags","")))</f>
        <v/>
      </c>
      <c r="R425" s="16"/>
      <c r="S425" s="19"/>
      <c r="T425" s="19"/>
      <c r="U425" s="19"/>
      <c r="V425" s="19"/>
      <c r="W425" s="19"/>
      <c r="X425" s="19"/>
      <c r="Y425" s="19"/>
      <c r="Z425" s="47" t="str">
        <f aca="false">IF(COUNT(U425:X425)=0,"",SUM(U425:X425))</f>
        <v/>
      </c>
      <c r="AA425" s="48" t="str">
        <f aca="false">IF(OR(Z425="",N(T425)=0),"",Z425/T425)</f>
        <v/>
      </c>
      <c r="AB425" s="45"/>
      <c r="AC425" s="51" t="str">
        <f aca="false">IF(A425="","",A425+N(C425)+ROW()/10^7)</f>
        <v/>
      </c>
      <c r="AD425" s="51" t="str">
        <f aca="false">IF(A425="","",TEXT(A425,"0")&amp;"|"&amp;COUNTIFS('Content Log'!$A$5:$A$504,A425,'Content Log'!$AC$5:$AC$504,"&lt;="&amp;AC425))</f>
        <v/>
      </c>
      <c r="AE425" s="51" t="str">
        <f aca="false">IF(A425="","",IFERROR(INDEX(Setup!$N$9:$N$14,MATCH(O425,Setup!$M$9:$M$14,0))&amp;" ","")&amp;IF(C425="","",TEXT(C425,"h:mm AM/PM")&amp;" ")&amp;D425&amp;IF(H425="",""," · "&amp;H425))</f>
        <v/>
      </c>
      <c r="AF425" s="51" t="str">
        <f aca="false">IF(OR(A425="",AA425=""),"",IF(AND(A425&gt;=Dashboard!$G$4,A425&lt;=Dashboard!$I$4),AA425+ROW()/10^9,""))</f>
        <v/>
      </c>
      <c r="AG425" s="51" t="str">
        <f aca="false">IF(A425="","",WEEKDAY(A425,2))</f>
        <v/>
      </c>
    </row>
    <row r="426" customFormat="false" ht="15" hidden="false" customHeight="false" outlineLevel="0" collapsed="false">
      <c r="A426" s="43"/>
      <c r="B426" s="11" t="str">
        <f aca="false">IF(A426="","",TEXT(A426,"ddd"))</f>
        <v/>
      </c>
      <c r="C426" s="44"/>
      <c r="D426" s="16"/>
      <c r="E426" s="16"/>
      <c r="F426" s="16"/>
      <c r="G426" s="16"/>
      <c r="H426" s="45"/>
      <c r="I426" s="45"/>
      <c r="J426" s="11" t="str">
        <f aca="false">IF(I426="","",LEN(I426))</f>
        <v/>
      </c>
      <c r="K426" s="16"/>
      <c r="L426" s="16"/>
      <c r="M426" s="11" t="str">
        <f aca="false">IF(L426="","",IFERROR(INDEX('Hashtag Bank'!$E$5:$E$104,MATCH(L426,'Hashtag Bank'!$B$5:$B$104,0)),""))</f>
        <v/>
      </c>
      <c r="N426" s="16"/>
      <c r="O426" s="16"/>
      <c r="P426" s="16"/>
      <c r="Q426" s="46" t="str">
        <f aca="true">IF(A426&amp;H426="","",TRIM(IF(AND(A426&lt;&gt;"",A426&lt;TODAY(),O426&lt;&gt;"Published",O426&lt;&gt;"Repurpose"),"⚠ Overdue ","")&amp;IF(AND(J426&lt;&gt;"",D426&lt;&gt;"",IFERROR(J426&gt;INDEX(Setup!$E$9:$E$18,MATCH(D426,Setup!$B$9:$B$18,0)),FALSE())),"✂ Caption too long ","")&amp;IF(AND(M426&lt;&gt;"",D426&lt;&gt;"",IFERROR(M426&gt;INDEX(Setup!$F$9:$F$18,MATCH(D426,Setup!$B$9:$B$18,0)),FALSE())),"# Too many tags","")))</f>
        <v/>
      </c>
      <c r="R426" s="16"/>
      <c r="S426" s="19"/>
      <c r="T426" s="19"/>
      <c r="U426" s="19"/>
      <c r="V426" s="19"/>
      <c r="W426" s="19"/>
      <c r="X426" s="19"/>
      <c r="Y426" s="19"/>
      <c r="Z426" s="47" t="str">
        <f aca="false">IF(COUNT(U426:X426)=0,"",SUM(U426:X426))</f>
        <v/>
      </c>
      <c r="AA426" s="48" t="str">
        <f aca="false">IF(OR(Z426="",N(T426)=0),"",Z426/T426)</f>
        <v/>
      </c>
      <c r="AB426" s="45"/>
      <c r="AC426" s="51" t="str">
        <f aca="false">IF(A426="","",A426+N(C426)+ROW()/10^7)</f>
        <v/>
      </c>
      <c r="AD426" s="51" t="str">
        <f aca="false">IF(A426="","",TEXT(A426,"0")&amp;"|"&amp;COUNTIFS('Content Log'!$A$5:$A$504,A426,'Content Log'!$AC$5:$AC$504,"&lt;="&amp;AC426))</f>
        <v/>
      </c>
      <c r="AE426" s="51" t="str">
        <f aca="false">IF(A426="","",IFERROR(INDEX(Setup!$N$9:$N$14,MATCH(O426,Setup!$M$9:$M$14,0))&amp;" ","")&amp;IF(C426="","",TEXT(C426,"h:mm AM/PM")&amp;" ")&amp;D426&amp;IF(H426="",""," · "&amp;H426))</f>
        <v/>
      </c>
      <c r="AF426" s="51" t="str">
        <f aca="false">IF(OR(A426="",AA426=""),"",IF(AND(A426&gt;=Dashboard!$G$4,A426&lt;=Dashboard!$I$4),AA426+ROW()/10^9,""))</f>
        <v/>
      </c>
      <c r="AG426" s="51" t="str">
        <f aca="false">IF(A426="","",WEEKDAY(A426,2))</f>
        <v/>
      </c>
    </row>
    <row r="427" customFormat="false" ht="15" hidden="false" customHeight="false" outlineLevel="0" collapsed="false">
      <c r="A427" s="43"/>
      <c r="B427" s="11" t="str">
        <f aca="false">IF(A427="","",TEXT(A427,"ddd"))</f>
        <v/>
      </c>
      <c r="C427" s="44"/>
      <c r="D427" s="16"/>
      <c r="E427" s="16"/>
      <c r="F427" s="16"/>
      <c r="G427" s="16"/>
      <c r="H427" s="45"/>
      <c r="I427" s="45"/>
      <c r="J427" s="11" t="str">
        <f aca="false">IF(I427="","",LEN(I427))</f>
        <v/>
      </c>
      <c r="K427" s="16"/>
      <c r="L427" s="16"/>
      <c r="M427" s="11" t="str">
        <f aca="false">IF(L427="","",IFERROR(INDEX('Hashtag Bank'!$E$5:$E$104,MATCH(L427,'Hashtag Bank'!$B$5:$B$104,0)),""))</f>
        <v/>
      </c>
      <c r="N427" s="16"/>
      <c r="O427" s="16"/>
      <c r="P427" s="16"/>
      <c r="Q427" s="46" t="str">
        <f aca="true">IF(A427&amp;H427="","",TRIM(IF(AND(A427&lt;&gt;"",A427&lt;TODAY(),O427&lt;&gt;"Published",O427&lt;&gt;"Repurpose"),"⚠ Overdue ","")&amp;IF(AND(J427&lt;&gt;"",D427&lt;&gt;"",IFERROR(J427&gt;INDEX(Setup!$E$9:$E$18,MATCH(D427,Setup!$B$9:$B$18,0)),FALSE())),"✂ Caption too long ","")&amp;IF(AND(M427&lt;&gt;"",D427&lt;&gt;"",IFERROR(M427&gt;INDEX(Setup!$F$9:$F$18,MATCH(D427,Setup!$B$9:$B$18,0)),FALSE())),"# Too many tags","")))</f>
        <v/>
      </c>
      <c r="R427" s="16"/>
      <c r="S427" s="19"/>
      <c r="T427" s="19"/>
      <c r="U427" s="19"/>
      <c r="V427" s="19"/>
      <c r="W427" s="19"/>
      <c r="X427" s="19"/>
      <c r="Y427" s="19"/>
      <c r="Z427" s="47" t="str">
        <f aca="false">IF(COUNT(U427:X427)=0,"",SUM(U427:X427))</f>
        <v/>
      </c>
      <c r="AA427" s="48" t="str">
        <f aca="false">IF(OR(Z427="",N(T427)=0),"",Z427/T427)</f>
        <v/>
      </c>
      <c r="AB427" s="45"/>
      <c r="AC427" s="51" t="str">
        <f aca="false">IF(A427="","",A427+N(C427)+ROW()/10^7)</f>
        <v/>
      </c>
      <c r="AD427" s="51" t="str">
        <f aca="false">IF(A427="","",TEXT(A427,"0")&amp;"|"&amp;COUNTIFS('Content Log'!$A$5:$A$504,A427,'Content Log'!$AC$5:$AC$504,"&lt;="&amp;AC427))</f>
        <v/>
      </c>
      <c r="AE427" s="51" t="str">
        <f aca="false">IF(A427="","",IFERROR(INDEX(Setup!$N$9:$N$14,MATCH(O427,Setup!$M$9:$M$14,0))&amp;" ","")&amp;IF(C427="","",TEXT(C427,"h:mm AM/PM")&amp;" ")&amp;D427&amp;IF(H427="",""," · "&amp;H427))</f>
        <v/>
      </c>
      <c r="AF427" s="51" t="str">
        <f aca="false">IF(OR(A427="",AA427=""),"",IF(AND(A427&gt;=Dashboard!$G$4,A427&lt;=Dashboard!$I$4),AA427+ROW()/10^9,""))</f>
        <v/>
      </c>
      <c r="AG427" s="51" t="str">
        <f aca="false">IF(A427="","",WEEKDAY(A427,2))</f>
        <v/>
      </c>
    </row>
    <row r="428" customFormat="false" ht="15" hidden="false" customHeight="false" outlineLevel="0" collapsed="false">
      <c r="A428" s="43"/>
      <c r="B428" s="11" t="str">
        <f aca="false">IF(A428="","",TEXT(A428,"ddd"))</f>
        <v/>
      </c>
      <c r="C428" s="44"/>
      <c r="D428" s="16"/>
      <c r="E428" s="16"/>
      <c r="F428" s="16"/>
      <c r="G428" s="16"/>
      <c r="H428" s="45"/>
      <c r="I428" s="45"/>
      <c r="J428" s="11" t="str">
        <f aca="false">IF(I428="","",LEN(I428))</f>
        <v/>
      </c>
      <c r="K428" s="16"/>
      <c r="L428" s="16"/>
      <c r="M428" s="11" t="str">
        <f aca="false">IF(L428="","",IFERROR(INDEX('Hashtag Bank'!$E$5:$E$104,MATCH(L428,'Hashtag Bank'!$B$5:$B$104,0)),""))</f>
        <v/>
      </c>
      <c r="N428" s="16"/>
      <c r="O428" s="16"/>
      <c r="P428" s="16"/>
      <c r="Q428" s="46" t="str">
        <f aca="true">IF(A428&amp;H428="","",TRIM(IF(AND(A428&lt;&gt;"",A428&lt;TODAY(),O428&lt;&gt;"Published",O428&lt;&gt;"Repurpose"),"⚠ Overdue ","")&amp;IF(AND(J428&lt;&gt;"",D428&lt;&gt;"",IFERROR(J428&gt;INDEX(Setup!$E$9:$E$18,MATCH(D428,Setup!$B$9:$B$18,0)),FALSE())),"✂ Caption too long ","")&amp;IF(AND(M428&lt;&gt;"",D428&lt;&gt;"",IFERROR(M428&gt;INDEX(Setup!$F$9:$F$18,MATCH(D428,Setup!$B$9:$B$18,0)),FALSE())),"# Too many tags","")))</f>
        <v/>
      </c>
      <c r="R428" s="16"/>
      <c r="S428" s="19"/>
      <c r="T428" s="19"/>
      <c r="U428" s="19"/>
      <c r="V428" s="19"/>
      <c r="W428" s="19"/>
      <c r="X428" s="19"/>
      <c r="Y428" s="19"/>
      <c r="Z428" s="47" t="str">
        <f aca="false">IF(COUNT(U428:X428)=0,"",SUM(U428:X428))</f>
        <v/>
      </c>
      <c r="AA428" s="48" t="str">
        <f aca="false">IF(OR(Z428="",N(T428)=0),"",Z428/T428)</f>
        <v/>
      </c>
      <c r="AB428" s="45"/>
      <c r="AC428" s="51" t="str">
        <f aca="false">IF(A428="","",A428+N(C428)+ROW()/10^7)</f>
        <v/>
      </c>
      <c r="AD428" s="51" t="str">
        <f aca="false">IF(A428="","",TEXT(A428,"0")&amp;"|"&amp;COUNTIFS('Content Log'!$A$5:$A$504,A428,'Content Log'!$AC$5:$AC$504,"&lt;="&amp;AC428))</f>
        <v/>
      </c>
      <c r="AE428" s="51" t="str">
        <f aca="false">IF(A428="","",IFERROR(INDEX(Setup!$N$9:$N$14,MATCH(O428,Setup!$M$9:$M$14,0))&amp;" ","")&amp;IF(C428="","",TEXT(C428,"h:mm AM/PM")&amp;" ")&amp;D428&amp;IF(H428="",""," · "&amp;H428))</f>
        <v/>
      </c>
      <c r="AF428" s="51" t="str">
        <f aca="false">IF(OR(A428="",AA428=""),"",IF(AND(A428&gt;=Dashboard!$G$4,A428&lt;=Dashboard!$I$4),AA428+ROW()/10^9,""))</f>
        <v/>
      </c>
      <c r="AG428" s="51" t="str">
        <f aca="false">IF(A428="","",WEEKDAY(A428,2))</f>
        <v/>
      </c>
    </row>
    <row r="429" customFormat="false" ht="15" hidden="false" customHeight="false" outlineLevel="0" collapsed="false">
      <c r="A429" s="43"/>
      <c r="B429" s="11" t="str">
        <f aca="false">IF(A429="","",TEXT(A429,"ddd"))</f>
        <v/>
      </c>
      <c r="C429" s="44"/>
      <c r="D429" s="16"/>
      <c r="E429" s="16"/>
      <c r="F429" s="16"/>
      <c r="G429" s="16"/>
      <c r="H429" s="45"/>
      <c r="I429" s="45"/>
      <c r="J429" s="11" t="str">
        <f aca="false">IF(I429="","",LEN(I429))</f>
        <v/>
      </c>
      <c r="K429" s="16"/>
      <c r="L429" s="16"/>
      <c r="M429" s="11" t="str">
        <f aca="false">IF(L429="","",IFERROR(INDEX('Hashtag Bank'!$E$5:$E$104,MATCH(L429,'Hashtag Bank'!$B$5:$B$104,0)),""))</f>
        <v/>
      </c>
      <c r="N429" s="16"/>
      <c r="O429" s="16"/>
      <c r="P429" s="16"/>
      <c r="Q429" s="46" t="str">
        <f aca="true">IF(A429&amp;H429="","",TRIM(IF(AND(A429&lt;&gt;"",A429&lt;TODAY(),O429&lt;&gt;"Published",O429&lt;&gt;"Repurpose"),"⚠ Overdue ","")&amp;IF(AND(J429&lt;&gt;"",D429&lt;&gt;"",IFERROR(J429&gt;INDEX(Setup!$E$9:$E$18,MATCH(D429,Setup!$B$9:$B$18,0)),FALSE())),"✂ Caption too long ","")&amp;IF(AND(M429&lt;&gt;"",D429&lt;&gt;"",IFERROR(M429&gt;INDEX(Setup!$F$9:$F$18,MATCH(D429,Setup!$B$9:$B$18,0)),FALSE())),"# Too many tags","")))</f>
        <v/>
      </c>
      <c r="R429" s="16"/>
      <c r="S429" s="19"/>
      <c r="T429" s="19"/>
      <c r="U429" s="19"/>
      <c r="V429" s="19"/>
      <c r="W429" s="19"/>
      <c r="X429" s="19"/>
      <c r="Y429" s="19"/>
      <c r="Z429" s="47" t="str">
        <f aca="false">IF(COUNT(U429:X429)=0,"",SUM(U429:X429))</f>
        <v/>
      </c>
      <c r="AA429" s="48" t="str">
        <f aca="false">IF(OR(Z429="",N(T429)=0),"",Z429/T429)</f>
        <v/>
      </c>
      <c r="AB429" s="45"/>
      <c r="AC429" s="51" t="str">
        <f aca="false">IF(A429="","",A429+N(C429)+ROW()/10^7)</f>
        <v/>
      </c>
      <c r="AD429" s="51" t="str">
        <f aca="false">IF(A429="","",TEXT(A429,"0")&amp;"|"&amp;COUNTIFS('Content Log'!$A$5:$A$504,A429,'Content Log'!$AC$5:$AC$504,"&lt;="&amp;AC429))</f>
        <v/>
      </c>
      <c r="AE429" s="51" t="str">
        <f aca="false">IF(A429="","",IFERROR(INDEX(Setup!$N$9:$N$14,MATCH(O429,Setup!$M$9:$M$14,0))&amp;" ","")&amp;IF(C429="","",TEXT(C429,"h:mm AM/PM")&amp;" ")&amp;D429&amp;IF(H429="",""," · "&amp;H429))</f>
        <v/>
      </c>
      <c r="AF429" s="51" t="str">
        <f aca="false">IF(OR(A429="",AA429=""),"",IF(AND(A429&gt;=Dashboard!$G$4,A429&lt;=Dashboard!$I$4),AA429+ROW()/10^9,""))</f>
        <v/>
      </c>
      <c r="AG429" s="51" t="str">
        <f aca="false">IF(A429="","",WEEKDAY(A429,2))</f>
        <v/>
      </c>
    </row>
    <row r="430" customFormat="false" ht="15" hidden="false" customHeight="false" outlineLevel="0" collapsed="false">
      <c r="A430" s="43"/>
      <c r="B430" s="11" t="str">
        <f aca="false">IF(A430="","",TEXT(A430,"ddd"))</f>
        <v/>
      </c>
      <c r="C430" s="44"/>
      <c r="D430" s="16"/>
      <c r="E430" s="16"/>
      <c r="F430" s="16"/>
      <c r="G430" s="16"/>
      <c r="H430" s="45"/>
      <c r="I430" s="45"/>
      <c r="J430" s="11" t="str">
        <f aca="false">IF(I430="","",LEN(I430))</f>
        <v/>
      </c>
      <c r="K430" s="16"/>
      <c r="L430" s="16"/>
      <c r="M430" s="11" t="str">
        <f aca="false">IF(L430="","",IFERROR(INDEX('Hashtag Bank'!$E$5:$E$104,MATCH(L430,'Hashtag Bank'!$B$5:$B$104,0)),""))</f>
        <v/>
      </c>
      <c r="N430" s="16"/>
      <c r="O430" s="16"/>
      <c r="P430" s="16"/>
      <c r="Q430" s="46" t="str">
        <f aca="true">IF(A430&amp;H430="","",TRIM(IF(AND(A430&lt;&gt;"",A430&lt;TODAY(),O430&lt;&gt;"Published",O430&lt;&gt;"Repurpose"),"⚠ Overdue ","")&amp;IF(AND(J430&lt;&gt;"",D430&lt;&gt;"",IFERROR(J430&gt;INDEX(Setup!$E$9:$E$18,MATCH(D430,Setup!$B$9:$B$18,0)),FALSE())),"✂ Caption too long ","")&amp;IF(AND(M430&lt;&gt;"",D430&lt;&gt;"",IFERROR(M430&gt;INDEX(Setup!$F$9:$F$18,MATCH(D430,Setup!$B$9:$B$18,0)),FALSE())),"# Too many tags","")))</f>
        <v/>
      </c>
      <c r="R430" s="16"/>
      <c r="S430" s="19"/>
      <c r="T430" s="19"/>
      <c r="U430" s="19"/>
      <c r="V430" s="19"/>
      <c r="W430" s="19"/>
      <c r="X430" s="19"/>
      <c r="Y430" s="19"/>
      <c r="Z430" s="47" t="str">
        <f aca="false">IF(COUNT(U430:X430)=0,"",SUM(U430:X430))</f>
        <v/>
      </c>
      <c r="AA430" s="48" t="str">
        <f aca="false">IF(OR(Z430="",N(T430)=0),"",Z430/T430)</f>
        <v/>
      </c>
      <c r="AB430" s="45"/>
      <c r="AC430" s="51" t="str">
        <f aca="false">IF(A430="","",A430+N(C430)+ROW()/10^7)</f>
        <v/>
      </c>
      <c r="AD430" s="51" t="str">
        <f aca="false">IF(A430="","",TEXT(A430,"0")&amp;"|"&amp;COUNTIFS('Content Log'!$A$5:$A$504,A430,'Content Log'!$AC$5:$AC$504,"&lt;="&amp;AC430))</f>
        <v/>
      </c>
      <c r="AE430" s="51" t="str">
        <f aca="false">IF(A430="","",IFERROR(INDEX(Setup!$N$9:$N$14,MATCH(O430,Setup!$M$9:$M$14,0))&amp;" ","")&amp;IF(C430="","",TEXT(C430,"h:mm AM/PM")&amp;" ")&amp;D430&amp;IF(H430="",""," · "&amp;H430))</f>
        <v/>
      </c>
      <c r="AF430" s="51" t="str">
        <f aca="false">IF(OR(A430="",AA430=""),"",IF(AND(A430&gt;=Dashboard!$G$4,A430&lt;=Dashboard!$I$4),AA430+ROW()/10^9,""))</f>
        <v/>
      </c>
      <c r="AG430" s="51" t="str">
        <f aca="false">IF(A430="","",WEEKDAY(A430,2))</f>
        <v/>
      </c>
    </row>
    <row r="431" customFormat="false" ht="15" hidden="false" customHeight="false" outlineLevel="0" collapsed="false">
      <c r="A431" s="43"/>
      <c r="B431" s="11" t="str">
        <f aca="false">IF(A431="","",TEXT(A431,"ddd"))</f>
        <v/>
      </c>
      <c r="C431" s="44"/>
      <c r="D431" s="16"/>
      <c r="E431" s="16"/>
      <c r="F431" s="16"/>
      <c r="G431" s="16"/>
      <c r="H431" s="45"/>
      <c r="I431" s="45"/>
      <c r="J431" s="11" t="str">
        <f aca="false">IF(I431="","",LEN(I431))</f>
        <v/>
      </c>
      <c r="K431" s="16"/>
      <c r="L431" s="16"/>
      <c r="M431" s="11" t="str">
        <f aca="false">IF(L431="","",IFERROR(INDEX('Hashtag Bank'!$E$5:$E$104,MATCH(L431,'Hashtag Bank'!$B$5:$B$104,0)),""))</f>
        <v/>
      </c>
      <c r="N431" s="16"/>
      <c r="O431" s="16"/>
      <c r="P431" s="16"/>
      <c r="Q431" s="46" t="str">
        <f aca="true">IF(A431&amp;H431="","",TRIM(IF(AND(A431&lt;&gt;"",A431&lt;TODAY(),O431&lt;&gt;"Published",O431&lt;&gt;"Repurpose"),"⚠ Overdue ","")&amp;IF(AND(J431&lt;&gt;"",D431&lt;&gt;"",IFERROR(J431&gt;INDEX(Setup!$E$9:$E$18,MATCH(D431,Setup!$B$9:$B$18,0)),FALSE())),"✂ Caption too long ","")&amp;IF(AND(M431&lt;&gt;"",D431&lt;&gt;"",IFERROR(M431&gt;INDEX(Setup!$F$9:$F$18,MATCH(D431,Setup!$B$9:$B$18,0)),FALSE())),"# Too many tags","")))</f>
        <v/>
      </c>
      <c r="R431" s="16"/>
      <c r="S431" s="19"/>
      <c r="T431" s="19"/>
      <c r="U431" s="19"/>
      <c r="V431" s="19"/>
      <c r="W431" s="19"/>
      <c r="X431" s="19"/>
      <c r="Y431" s="19"/>
      <c r="Z431" s="47" t="str">
        <f aca="false">IF(COUNT(U431:X431)=0,"",SUM(U431:X431))</f>
        <v/>
      </c>
      <c r="AA431" s="48" t="str">
        <f aca="false">IF(OR(Z431="",N(T431)=0),"",Z431/T431)</f>
        <v/>
      </c>
      <c r="AB431" s="45"/>
      <c r="AC431" s="51" t="str">
        <f aca="false">IF(A431="","",A431+N(C431)+ROW()/10^7)</f>
        <v/>
      </c>
      <c r="AD431" s="51" t="str">
        <f aca="false">IF(A431="","",TEXT(A431,"0")&amp;"|"&amp;COUNTIFS('Content Log'!$A$5:$A$504,A431,'Content Log'!$AC$5:$AC$504,"&lt;="&amp;AC431))</f>
        <v/>
      </c>
      <c r="AE431" s="51" t="str">
        <f aca="false">IF(A431="","",IFERROR(INDEX(Setup!$N$9:$N$14,MATCH(O431,Setup!$M$9:$M$14,0))&amp;" ","")&amp;IF(C431="","",TEXT(C431,"h:mm AM/PM")&amp;" ")&amp;D431&amp;IF(H431="",""," · "&amp;H431))</f>
        <v/>
      </c>
      <c r="AF431" s="51" t="str">
        <f aca="false">IF(OR(A431="",AA431=""),"",IF(AND(A431&gt;=Dashboard!$G$4,A431&lt;=Dashboard!$I$4),AA431+ROW()/10^9,""))</f>
        <v/>
      </c>
      <c r="AG431" s="51" t="str">
        <f aca="false">IF(A431="","",WEEKDAY(A431,2))</f>
        <v/>
      </c>
    </row>
    <row r="432" customFormat="false" ht="15" hidden="false" customHeight="false" outlineLevel="0" collapsed="false">
      <c r="A432" s="43"/>
      <c r="B432" s="11" t="str">
        <f aca="false">IF(A432="","",TEXT(A432,"ddd"))</f>
        <v/>
      </c>
      <c r="C432" s="44"/>
      <c r="D432" s="16"/>
      <c r="E432" s="16"/>
      <c r="F432" s="16"/>
      <c r="G432" s="16"/>
      <c r="H432" s="45"/>
      <c r="I432" s="45"/>
      <c r="J432" s="11" t="str">
        <f aca="false">IF(I432="","",LEN(I432))</f>
        <v/>
      </c>
      <c r="K432" s="16"/>
      <c r="L432" s="16"/>
      <c r="M432" s="11" t="str">
        <f aca="false">IF(L432="","",IFERROR(INDEX('Hashtag Bank'!$E$5:$E$104,MATCH(L432,'Hashtag Bank'!$B$5:$B$104,0)),""))</f>
        <v/>
      </c>
      <c r="N432" s="16"/>
      <c r="O432" s="16"/>
      <c r="P432" s="16"/>
      <c r="Q432" s="46" t="str">
        <f aca="true">IF(A432&amp;H432="","",TRIM(IF(AND(A432&lt;&gt;"",A432&lt;TODAY(),O432&lt;&gt;"Published",O432&lt;&gt;"Repurpose"),"⚠ Overdue ","")&amp;IF(AND(J432&lt;&gt;"",D432&lt;&gt;"",IFERROR(J432&gt;INDEX(Setup!$E$9:$E$18,MATCH(D432,Setup!$B$9:$B$18,0)),FALSE())),"✂ Caption too long ","")&amp;IF(AND(M432&lt;&gt;"",D432&lt;&gt;"",IFERROR(M432&gt;INDEX(Setup!$F$9:$F$18,MATCH(D432,Setup!$B$9:$B$18,0)),FALSE())),"# Too many tags","")))</f>
        <v/>
      </c>
      <c r="R432" s="16"/>
      <c r="S432" s="19"/>
      <c r="T432" s="19"/>
      <c r="U432" s="19"/>
      <c r="V432" s="19"/>
      <c r="W432" s="19"/>
      <c r="X432" s="19"/>
      <c r="Y432" s="19"/>
      <c r="Z432" s="47" t="str">
        <f aca="false">IF(COUNT(U432:X432)=0,"",SUM(U432:X432))</f>
        <v/>
      </c>
      <c r="AA432" s="48" t="str">
        <f aca="false">IF(OR(Z432="",N(T432)=0),"",Z432/T432)</f>
        <v/>
      </c>
      <c r="AB432" s="45"/>
      <c r="AC432" s="51" t="str">
        <f aca="false">IF(A432="","",A432+N(C432)+ROW()/10^7)</f>
        <v/>
      </c>
      <c r="AD432" s="51" t="str">
        <f aca="false">IF(A432="","",TEXT(A432,"0")&amp;"|"&amp;COUNTIFS('Content Log'!$A$5:$A$504,A432,'Content Log'!$AC$5:$AC$504,"&lt;="&amp;AC432))</f>
        <v/>
      </c>
      <c r="AE432" s="51" t="str">
        <f aca="false">IF(A432="","",IFERROR(INDEX(Setup!$N$9:$N$14,MATCH(O432,Setup!$M$9:$M$14,0))&amp;" ","")&amp;IF(C432="","",TEXT(C432,"h:mm AM/PM")&amp;" ")&amp;D432&amp;IF(H432="",""," · "&amp;H432))</f>
        <v/>
      </c>
      <c r="AF432" s="51" t="str">
        <f aca="false">IF(OR(A432="",AA432=""),"",IF(AND(A432&gt;=Dashboard!$G$4,A432&lt;=Dashboard!$I$4),AA432+ROW()/10^9,""))</f>
        <v/>
      </c>
      <c r="AG432" s="51" t="str">
        <f aca="false">IF(A432="","",WEEKDAY(A432,2))</f>
        <v/>
      </c>
    </row>
    <row r="433" customFormat="false" ht="15" hidden="false" customHeight="false" outlineLevel="0" collapsed="false">
      <c r="A433" s="43"/>
      <c r="B433" s="11" t="str">
        <f aca="false">IF(A433="","",TEXT(A433,"ddd"))</f>
        <v/>
      </c>
      <c r="C433" s="44"/>
      <c r="D433" s="16"/>
      <c r="E433" s="16"/>
      <c r="F433" s="16"/>
      <c r="G433" s="16"/>
      <c r="H433" s="45"/>
      <c r="I433" s="45"/>
      <c r="J433" s="11" t="str">
        <f aca="false">IF(I433="","",LEN(I433))</f>
        <v/>
      </c>
      <c r="K433" s="16"/>
      <c r="L433" s="16"/>
      <c r="M433" s="11" t="str">
        <f aca="false">IF(L433="","",IFERROR(INDEX('Hashtag Bank'!$E$5:$E$104,MATCH(L433,'Hashtag Bank'!$B$5:$B$104,0)),""))</f>
        <v/>
      </c>
      <c r="N433" s="16"/>
      <c r="O433" s="16"/>
      <c r="P433" s="16"/>
      <c r="Q433" s="46" t="str">
        <f aca="true">IF(A433&amp;H433="","",TRIM(IF(AND(A433&lt;&gt;"",A433&lt;TODAY(),O433&lt;&gt;"Published",O433&lt;&gt;"Repurpose"),"⚠ Overdue ","")&amp;IF(AND(J433&lt;&gt;"",D433&lt;&gt;"",IFERROR(J433&gt;INDEX(Setup!$E$9:$E$18,MATCH(D433,Setup!$B$9:$B$18,0)),FALSE())),"✂ Caption too long ","")&amp;IF(AND(M433&lt;&gt;"",D433&lt;&gt;"",IFERROR(M433&gt;INDEX(Setup!$F$9:$F$18,MATCH(D433,Setup!$B$9:$B$18,0)),FALSE())),"# Too many tags","")))</f>
        <v/>
      </c>
      <c r="R433" s="16"/>
      <c r="S433" s="19"/>
      <c r="T433" s="19"/>
      <c r="U433" s="19"/>
      <c r="V433" s="19"/>
      <c r="W433" s="19"/>
      <c r="X433" s="19"/>
      <c r="Y433" s="19"/>
      <c r="Z433" s="47" t="str">
        <f aca="false">IF(COUNT(U433:X433)=0,"",SUM(U433:X433))</f>
        <v/>
      </c>
      <c r="AA433" s="48" t="str">
        <f aca="false">IF(OR(Z433="",N(T433)=0),"",Z433/T433)</f>
        <v/>
      </c>
      <c r="AB433" s="45"/>
      <c r="AC433" s="51" t="str">
        <f aca="false">IF(A433="","",A433+N(C433)+ROW()/10^7)</f>
        <v/>
      </c>
      <c r="AD433" s="51" t="str">
        <f aca="false">IF(A433="","",TEXT(A433,"0")&amp;"|"&amp;COUNTIFS('Content Log'!$A$5:$A$504,A433,'Content Log'!$AC$5:$AC$504,"&lt;="&amp;AC433))</f>
        <v/>
      </c>
      <c r="AE433" s="51" t="str">
        <f aca="false">IF(A433="","",IFERROR(INDEX(Setup!$N$9:$N$14,MATCH(O433,Setup!$M$9:$M$14,0))&amp;" ","")&amp;IF(C433="","",TEXT(C433,"h:mm AM/PM")&amp;" ")&amp;D433&amp;IF(H433="",""," · "&amp;H433))</f>
        <v/>
      </c>
      <c r="AF433" s="51" t="str">
        <f aca="false">IF(OR(A433="",AA433=""),"",IF(AND(A433&gt;=Dashboard!$G$4,A433&lt;=Dashboard!$I$4),AA433+ROW()/10^9,""))</f>
        <v/>
      </c>
      <c r="AG433" s="51" t="str">
        <f aca="false">IF(A433="","",WEEKDAY(A433,2))</f>
        <v/>
      </c>
    </row>
    <row r="434" customFormat="false" ht="15" hidden="false" customHeight="false" outlineLevel="0" collapsed="false">
      <c r="A434" s="43"/>
      <c r="B434" s="11" t="str">
        <f aca="false">IF(A434="","",TEXT(A434,"ddd"))</f>
        <v/>
      </c>
      <c r="C434" s="44"/>
      <c r="D434" s="16"/>
      <c r="E434" s="16"/>
      <c r="F434" s="16"/>
      <c r="G434" s="16"/>
      <c r="H434" s="45"/>
      <c r="I434" s="45"/>
      <c r="J434" s="11" t="str">
        <f aca="false">IF(I434="","",LEN(I434))</f>
        <v/>
      </c>
      <c r="K434" s="16"/>
      <c r="L434" s="16"/>
      <c r="M434" s="11" t="str">
        <f aca="false">IF(L434="","",IFERROR(INDEX('Hashtag Bank'!$E$5:$E$104,MATCH(L434,'Hashtag Bank'!$B$5:$B$104,0)),""))</f>
        <v/>
      </c>
      <c r="N434" s="16"/>
      <c r="O434" s="16"/>
      <c r="P434" s="16"/>
      <c r="Q434" s="46" t="str">
        <f aca="true">IF(A434&amp;H434="","",TRIM(IF(AND(A434&lt;&gt;"",A434&lt;TODAY(),O434&lt;&gt;"Published",O434&lt;&gt;"Repurpose"),"⚠ Overdue ","")&amp;IF(AND(J434&lt;&gt;"",D434&lt;&gt;"",IFERROR(J434&gt;INDEX(Setup!$E$9:$E$18,MATCH(D434,Setup!$B$9:$B$18,0)),FALSE())),"✂ Caption too long ","")&amp;IF(AND(M434&lt;&gt;"",D434&lt;&gt;"",IFERROR(M434&gt;INDEX(Setup!$F$9:$F$18,MATCH(D434,Setup!$B$9:$B$18,0)),FALSE())),"# Too many tags","")))</f>
        <v/>
      </c>
      <c r="R434" s="16"/>
      <c r="S434" s="19"/>
      <c r="T434" s="19"/>
      <c r="U434" s="19"/>
      <c r="V434" s="19"/>
      <c r="W434" s="19"/>
      <c r="X434" s="19"/>
      <c r="Y434" s="19"/>
      <c r="Z434" s="47" t="str">
        <f aca="false">IF(COUNT(U434:X434)=0,"",SUM(U434:X434))</f>
        <v/>
      </c>
      <c r="AA434" s="48" t="str">
        <f aca="false">IF(OR(Z434="",N(T434)=0),"",Z434/T434)</f>
        <v/>
      </c>
      <c r="AB434" s="45"/>
      <c r="AC434" s="51" t="str">
        <f aca="false">IF(A434="","",A434+N(C434)+ROW()/10^7)</f>
        <v/>
      </c>
      <c r="AD434" s="51" t="str">
        <f aca="false">IF(A434="","",TEXT(A434,"0")&amp;"|"&amp;COUNTIFS('Content Log'!$A$5:$A$504,A434,'Content Log'!$AC$5:$AC$504,"&lt;="&amp;AC434))</f>
        <v/>
      </c>
      <c r="AE434" s="51" t="str">
        <f aca="false">IF(A434="","",IFERROR(INDEX(Setup!$N$9:$N$14,MATCH(O434,Setup!$M$9:$M$14,0))&amp;" ","")&amp;IF(C434="","",TEXT(C434,"h:mm AM/PM")&amp;" ")&amp;D434&amp;IF(H434="",""," · "&amp;H434))</f>
        <v/>
      </c>
      <c r="AF434" s="51" t="str">
        <f aca="false">IF(OR(A434="",AA434=""),"",IF(AND(A434&gt;=Dashboard!$G$4,A434&lt;=Dashboard!$I$4),AA434+ROW()/10^9,""))</f>
        <v/>
      </c>
      <c r="AG434" s="51" t="str">
        <f aca="false">IF(A434="","",WEEKDAY(A434,2))</f>
        <v/>
      </c>
    </row>
    <row r="435" customFormat="false" ht="15" hidden="false" customHeight="false" outlineLevel="0" collapsed="false">
      <c r="A435" s="43"/>
      <c r="B435" s="11" t="str">
        <f aca="false">IF(A435="","",TEXT(A435,"ddd"))</f>
        <v/>
      </c>
      <c r="C435" s="44"/>
      <c r="D435" s="16"/>
      <c r="E435" s="16"/>
      <c r="F435" s="16"/>
      <c r="G435" s="16"/>
      <c r="H435" s="45"/>
      <c r="I435" s="45"/>
      <c r="J435" s="11" t="str">
        <f aca="false">IF(I435="","",LEN(I435))</f>
        <v/>
      </c>
      <c r="K435" s="16"/>
      <c r="L435" s="16"/>
      <c r="M435" s="11" t="str">
        <f aca="false">IF(L435="","",IFERROR(INDEX('Hashtag Bank'!$E$5:$E$104,MATCH(L435,'Hashtag Bank'!$B$5:$B$104,0)),""))</f>
        <v/>
      </c>
      <c r="N435" s="16"/>
      <c r="O435" s="16"/>
      <c r="P435" s="16"/>
      <c r="Q435" s="46" t="str">
        <f aca="true">IF(A435&amp;H435="","",TRIM(IF(AND(A435&lt;&gt;"",A435&lt;TODAY(),O435&lt;&gt;"Published",O435&lt;&gt;"Repurpose"),"⚠ Overdue ","")&amp;IF(AND(J435&lt;&gt;"",D435&lt;&gt;"",IFERROR(J435&gt;INDEX(Setup!$E$9:$E$18,MATCH(D435,Setup!$B$9:$B$18,0)),FALSE())),"✂ Caption too long ","")&amp;IF(AND(M435&lt;&gt;"",D435&lt;&gt;"",IFERROR(M435&gt;INDEX(Setup!$F$9:$F$18,MATCH(D435,Setup!$B$9:$B$18,0)),FALSE())),"# Too many tags","")))</f>
        <v/>
      </c>
      <c r="R435" s="16"/>
      <c r="S435" s="19"/>
      <c r="T435" s="19"/>
      <c r="U435" s="19"/>
      <c r="V435" s="19"/>
      <c r="W435" s="19"/>
      <c r="X435" s="19"/>
      <c r="Y435" s="19"/>
      <c r="Z435" s="47" t="str">
        <f aca="false">IF(COUNT(U435:X435)=0,"",SUM(U435:X435))</f>
        <v/>
      </c>
      <c r="AA435" s="48" t="str">
        <f aca="false">IF(OR(Z435="",N(T435)=0),"",Z435/T435)</f>
        <v/>
      </c>
      <c r="AB435" s="45"/>
      <c r="AC435" s="51" t="str">
        <f aca="false">IF(A435="","",A435+N(C435)+ROW()/10^7)</f>
        <v/>
      </c>
      <c r="AD435" s="51" t="str">
        <f aca="false">IF(A435="","",TEXT(A435,"0")&amp;"|"&amp;COUNTIFS('Content Log'!$A$5:$A$504,A435,'Content Log'!$AC$5:$AC$504,"&lt;="&amp;AC435))</f>
        <v/>
      </c>
      <c r="AE435" s="51" t="str">
        <f aca="false">IF(A435="","",IFERROR(INDEX(Setup!$N$9:$N$14,MATCH(O435,Setup!$M$9:$M$14,0))&amp;" ","")&amp;IF(C435="","",TEXT(C435,"h:mm AM/PM")&amp;" ")&amp;D435&amp;IF(H435="",""," · "&amp;H435))</f>
        <v/>
      </c>
      <c r="AF435" s="51" t="str">
        <f aca="false">IF(OR(A435="",AA435=""),"",IF(AND(A435&gt;=Dashboard!$G$4,A435&lt;=Dashboard!$I$4),AA435+ROW()/10^9,""))</f>
        <v/>
      </c>
      <c r="AG435" s="51" t="str">
        <f aca="false">IF(A435="","",WEEKDAY(A435,2))</f>
        <v/>
      </c>
    </row>
    <row r="436" customFormat="false" ht="15" hidden="false" customHeight="false" outlineLevel="0" collapsed="false">
      <c r="A436" s="43"/>
      <c r="B436" s="11" t="str">
        <f aca="false">IF(A436="","",TEXT(A436,"ddd"))</f>
        <v/>
      </c>
      <c r="C436" s="44"/>
      <c r="D436" s="16"/>
      <c r="E436" s="16"/>
      <c r="F436" s="16"/>
      <c r="G436" s="16"/>
      <c r="H436" s="45"/>
      <c r="I436" s="45"/>
      <c r="J436" s="11" t="str">
        <f aca="false">IF(I436="","",LEN(I436))</f>
        <v/>
      </c>
      <c r="K436" s="16"/>
      <c r="L436" s="16"/>
      <c r="M436" s="11" t="str">
        <f aca="false">IF(L436="","",IFERROR(INDEX('Hashtag Bank'!$E$5:$E$104,MATCH(L436,'Hashtag Bank'!$B$5:$B$104,0)),""))</f>
        <v/>
      </c>
      <c r="N436" s="16"/>
      <c r="O436" s="16"/>
      <c r="P436" s="16"/>
      <c r="Q436" s="46" t="str">
        <f aca="true">IF(A436&amp;H436="","",TRIM(IF(AND(A436&lt;&gt;"",A436&lt;TODAY(),O436&lt;&gt;"Published",O436&lt;&gt;"Repurpose"),"⚠ Overdue ","")&amp;IF(AND(J436&lt;&gt;"",D436&lt;&gt;"",IFERROR(J436&gt;INDEX(Setup!$E$9:$E$18,MATCH(D436,Setup!$B$9:$B$18,0)),FALSE())),"✂ Caption too long ","")&amp;IF(AND(M436&lt;&gt;"",D436&lt;&gt;"",IFERROR(M436&gt;INDEX(Setup!$F$9:$F$18,MATCH(D436,Setup!$B$9:$B$18,0)),FALSE())),"# Too many tags","")))</f>
        <v/>
      </c>
      <c r="R436" s="16"/>
      <c r="S436" s="19"/>
      <c r="T436" s="19"/>
      <c r="U436" s="19"/>
      <c r="V436" s="19"/>
      <c r="W436" s="19"/>
      <c r="X436" s="19"/>
      <c r="Y436" s="19"/>
      <c r="Z436" s="47" t="str">
        <f aca="false">IF(COUNT(U436:X436)=0,"",SUM(U436:X436))</f>
        <v/>
      </c>
      <c r="AA436" s="48" t="str">
        <f aca="false">IF(OR(Z436="",N(T436)=0),"",Z436/T436)</f>
        <v/>
      </c>
      <c r="AB436" s="45"/>
      <c r="AC436" s="51" t="str">
        <f aca="false">IF(A436="","",A436+N(C436)+ROW()/10^7)</f>
        <v/>
      </c>
      <c r="AD436" s="51" t="str">
        <f aca="false">IF(A436="","",TEXT(A436,"0")&amp;"|"&amp;COUNTIFS('Content Log'!$A$5:$A$504,A436,'Content Log'!$AC$5:$AC$504,"&lt;="&amp;AC436))</f>
        <v/>
      </c>
      <c r="AE436" s="51" t="str">
        <f aca="false">IF(A436="","",IFERROR(INDEX(Setup!$N$9:$N$14,MATCH(O436,Setup!$M$9:$M$14,0))&amp;" ","")&amp;IF(C436="","",TEXT(C436,"h:mm AM/PM")&amp;" ")&amp;D436&amp;IF(H436="",""," · "&amp;H436))</f>
        <v/>
      </c>
      <c r="AF436" s="51" t="str">
        <f aca="false">IF(OR(A436="",AA436=""),"",IF(AND(A436&gt;=Dashboard!$G$4,A436&lt;=Dashboard!$I$4),AA436+ROW()/10^9,""))</f>
        <v/>
      </c>
      <c r="AG436" s="51" t="str">
        <f aca="false">IF(A436="","",WEEKDAY(A436,2))</f>
        <v/>
      </c>
    </row>
    <row r="437" customFormat="false" ht="15" hidden="false" customHeight="false" outlineLevel="0" collapsed="false">
      <c r="A437" s="43"/>
      <c r="B437" s="11" t="str">
        <f aca="false">IF(A437="","",TEXT(A437,"ddd"))</f>
        <v/>
      </c>
      <c r="C437" s="44"/>
      <c r="D437" s="16"/>
      <c r="E437" s="16"/>
      <c r="F437" s="16"/>
      <c r="G437" s="16"/>
      <c r="H437" s="45"/>
      <c r="I437" s="45"/>
      <c r="J437" s="11" t="str">
        <f aca="false">IF(I437="","",LEN(I437))</f>
        <v/>
      </c>
      <c r="K437" s="16"/>
      <c r="L437" s="16"/>
      <c r="M437" s="11" t="str">
        <f aca="false">IF(L437="","",IFERROR(INDEX('Hashtag Bank'!$E$5:$E$104,MATCH(L437,'Hashtag Bank'!$B$5:$B$104,0)),""))</f>
        <v/>
      </c>
      <c r="N437" s="16"/>
      <c r="O437" s="16"/>
      <c r="P437" s="16"/>
      <c r="Q437" s="46" t="str">
        <f aca="true">IF(A437&amp;H437="","",TRIM(IF(AND(A437&lt;&gt;"",A437&lt;TODAY(),O437&lt;&gt;"Published",O437&lt;&gt;"Repurpose"),"⚠ Overdue ","")&amp;IF(AND(J437&lt;&gt;"",D437&lt;&gt;"",IFERROR(J437&gt;INDEX(Setup!$E$9:$E$18,MATCH(D437,Setup!$B$9:$B$18,0)),FALSE())),"✂ Caption too long ","")&amp;IF(AND(M437&lt;&gt;"",D437&lt;&gt;"",IFERROR(M437&gt;INDEX(Setup!$F$9:$F$18,MATCH(D437,Setup!$B$9:$B$18,0)),FALSE())),"# Too many tags","")))</f>
        <v/>
      </c>
      <c r="R437" s="16"/>
      <c r="S437" s="19"/>
      <c r="T437" s="19"/>
      <c r="U437" s="19"/>
      <c r="V437" s="19"/>
      <c r="W437" s="19"/>
      <c r="X437" s="19"/>
      <c r="Y437" s="19"/>
      <c r="Z437" s="47" t="str">
        <f aca="false">IF(COUNT(U437:X437)=0,"",SUM(U437:X437))</f>
        <v/>
      </c>
      <c r="AA437" s="48" t="str">
        <f aca="false">IF(OR(Z437="",N(T437)=0),"",Z437/T437)</f>
        <v/>
      </c>
      <c r="AB437" s="45"/>
      <c r="AC437" s="51" t="str">
        <f aca="false">IF(A437="","",A437+N(C437)+ROW()/10^7)</f>
        <v/>
      </c>
      <c r="AD437" s="51" t="str">
        <f aca="false">IF(A437="","",TEXT(A437,"0")&amp;"|"&amp;COUNTIFS('Content Log'!$A$5:$A$504,A437,'Content Log'!$AC$5:$AC$504,"&lt;="&amp;AC437))</f>
        <v/>
      </c>
      <c r="AE437" s="51" t="str">
        <f aca="false">IF(A437="","",IFERROR(INDEX(Setup!$N$9:$N$14,MATCH(O437,Setup!$M$9:$M$14,0))&amp;" ","")&amp;IF(C437="","",TEXT(C437,"h:mm AM/PM")&amp;" ")&amp;D437&amp;IF(H437="",""," · "&amp;H437))</f>
        <v/>
      </c>
      <c r="AF437" s="51" t="str">
        <f aca="false">IF(OR(A437="",AA437=""),"",IF(AND(A437&gt;=Dashboard!$G$4,A437&lt;=Dashboard!$I$4),AA437+ROW()/10^9,""))</f>
        <v/>
      </c>
      <c r="AG437" s="51" t="str">
        <f aca="false">IF(A437="","",WEEKDAY(A437,2))</f>
        <v/>
      </c>
    </row>
    <row r="438" customFormat="false" ht="15" hidden="false" customHeight="false" outlineLevel="0" collapsed="false">
      <c r="A438" s="43"/>
      <c r="B438" s="11" t="str">
        <f aca="false">IF(A438="","",TEXT(A438,"ddd"))</f>
        <v/>
      </c>
      <c r="C438" s="44"/>
      <c r="D438" s="16"/>
      <c r="E438" s="16"/>
      <c r="F438" s="16"/>
      <c r="G438" s="16"/>
      <c r="H438" s="45"/>
      <c r="I438" s="45"/>
      <c r="J438" s="11" t="str">
        <f aca="false">IF(I438="","",LEN(I438))</f>
        <v/>
      </c>
      <c r="K438" s="16"/>
      <c r="L438" s="16"/>
      <c r="M438" s="11" t="str">
        <f aca="false">IF(L438="","",IFERROR(INDEX('Hashtag Bank'!$E$5:$E$104,MATCH(L438,'Hashtag Bank'!$B$5:$B$104,0)),""))</f>
        <v/>
      </c>
      <c r="N438" s="16"/>
      <c r="O438" s="16"/>
      <c r="P438" s="16"/>
      <c r="Q438" s="46" t="str">
        <f aca="true">IF(A438&amp;H438="","",TRIM(IF(AND(A438&lt;&gt;"",A438&lt;TODAY(),O438&lt;&gt;"Published",O438&lt;&gt;"Repurpose"),"⚠ Overdue ","")&amp;IF(AND(J438&lt;&gt;"",D438&lt;&gt;"",IFERROR(J438&gt;INDEX(Setup!$E$9:$E$18,MATCH(D438,Setup!$B$9:$B$18,0)),FALSE())),"✂ Caption too long ","")&amp;IF(AND(M438&lt;&gt;"",D438&lt;&gt;"",IFERROR(M438&gt;INDEX(Setup!$F$9:$F$18,MATCH(D438,Setup!$B$9:$B$18,0)),FALSE())),"# Too many tags","")))</f>
        <v/>
      </c>
      <c r="R438" s="16"/>
      <c r="S438" s="19"/>
      <c r="T438" s="19"/>
      <c r="U438" s="19"/>
      <c r="V438" s="19"/>
      <c r="W438" s="19"/>
      <c r="X438" s="19"/>
      <c r="Y438" s="19"/>
      <c r="Z438" s="47" t="str">
        <f aca="false">IF(COUNT(U438:X438)=0,"",SUM(U438:X438))</f>
        <v/>
      </c>
      <c r="AA438" s="48" t="str">
        <f aca="false">IF(OR(Z438="",N(T438)=0),"",Z438/T438)</f>
        <v/>
      </c>
      <c r="AB438" s="45"/>
      <c r="AC438" s="51" t="str">
        <f aca="false">IF(A438="","",A438+N(C438)+ROW()/10^7)</f>
        <v/>
      </c>
      <c r="AD438" s="51" t="str">
        <f aca="false">IF(A438="","",TEXT(A438,"0")&amp;"|"&amp;COUNTIFS('Content Log'!$A$5:$A$504,A438,'Content Log'!$AC$5:$AC$504,"&lt;="&amp;AC438))</f>
        <v/>
      </c>
      <c r="AE438" s="51" t="str">
        <f aca="false">IF(A438="","",IFERROR(INDEX(Setup!$N$9:$N$14,MATCH(O438,Setup!$M$9:$M$14,0))&amp;" ","")&amp;IF(C438="","",TEXT(C438,"h:mm AM/PM")&amp;" ")&amp;D438&amp;IF(H438="",""," · "&amp;H438))</f>
        <v/>
      </c>
      <c r="AF438" s="51" t="str">
        <f aca="false">IF(OR(A438="",AA438=""),"",IF(AND(A438&gt;=Dashboard!$G$4,A438&lt;=Dashboard!$I$4),AA438+ROW()/10^9,""))</f>
        <v/>
      </c>
      <c r="AG438" s="51" t="str">
        <f aca="false">IF(A438="","",WEEKDAY(A438,2))</f>
        <v/>
      </c>
    </row>
    <row r="439" customFormat="false" ht="15" hidden="false" customHeight="false" outlineLevel="0" collapsed="false">
      <c r="A439" s="43"/>
      <c r="B439" s="11" t="str">
        <f aca="false">IF(A439="","",TEXT(A439,"ddd"))</f>
        <v/>
      </c>
      <c r="C439" s="44"/>
      <c r="D439" s="16"/>
      <c r="E439" s="16"/>
      <c r="F439" s="16"/>
      <c r="G439" s="16"/>
      <c r="H439" s="45"/>
      <c r="I439" s="45"/>
      <c r="J439" s="11" t="str">
        <f aca="false">IF(I439="","",LEN(I439))</f>
        <v/>
      </c>
      <c r="K439" s="16"/>
      <c r="L439" s="16"/>
      <c r="M439" s="11" t="str">
        <f aca="false">IF(L439="","",IFERROR(INDEX('Hashtag Bank'!$E$5:$E$104,MATCH(L439,'Hashtag Bank'!$B$5:$B$104,0)),""))</f>
        <v/>
      </c>
      <c r="N439" s="16"/>
      <c r="O439" s="16"/>
      <c r="P439" s="16"/>
      <c r="Q439" s="46" t="str">
        <f aca="true">IF(A439&amp;H439="","",TRIM(IF(AND(A439&lt;&gt;"",A439&lt;TODAY(),O439&lt;&gt;"Published",O439&lt;&gt;"Repurpose"),"⚠ Overdue ","")&amp;IF(AND(J439&lt;&gt;"",D439&lt;&gt;"",IFERROR(J439&gt;INDEX(Setup!$E$9:$E$18,MATCH(D439,Setup!$B$9:$B$18,0)),FALSE())),"✂ Caption too long ","")&amp;IF(AND(M439&lt;&gt;"",D439&lt;&gt;"",IFERROR(M439&gt;INDEX(Setup!$F$9:$F$18,MATCH(D439,Setup!$B$9:$B$18,0)),FALSE())),"# Too many tags","")))</f>
        <v/>
      </c>
      <c r="R439" s="16"/>
      <c r="S439" s="19"/>
      <c r="T439" s="19"/>
      <c r="U439" s="19"/>
      <c r="V439" s="19"/>
      <c r="W439" s="19"/>
      <c r="X439" s="19"/>
      <c r="Y439" s="19"/>
      <c r="Z439" s="47" t="str">
        <f aca="false">IF(COUNT(U439:X439)=0,"",SUM(U439:X439))</f>
        <v/>
      </c>
      <c r="AA439" s="48" t="str">
        <f aca="false">IF(OR(Z439="",N(T439)=0),"",Z439/T439)</f>
        <v/>
      </c>
      <c r="AB439" s="45"/>
      <c r="AC439" s="51" t="str">
        <f aca="false">IF(A439="","",A439+N(C439)+ROW()/10^7)</f>
        <v/>
      </c>
      <c r="AD439" s="51" t="str">
        <f aca="false">IF(A439="","",TEXT(A439,"0")&amp;"|"&amp;COUNTIFS('Content Log'!$A$5:$A$504,A439,'Content Log'!$AC$5:$AC$504,"&lt;="&amp;AC439))</f>
        <v/>
      </c>
      <c r="AE439" s="51" t="str">
        <f aca="false">IF(A439="","",IFERROR(INDEX(Setup!$N$9:$N$14,MATCH(O439,Setup!$M$9:$M$14,0))&amp;" ","")&amp;IF(C439="","",TEXT(C439,"h:mm AM/PM")&amp;" ")&amp;D439&amp;IF(H439="",""," · "&amp;H439))</f>
        <v/>
      </c>
      <c r="AF439" s="51" t="str">
        <f aca="false">IF(OR(A439="",AA439=""),"",IF(AND(A439&gt;=Dashboard!$G$4,A439&lt;=Dashboard!$I$4),AA439+ROW()/10^9,""))</f>
        <v/>
      </c>
      <c r="AG439" s="51" t="str">
        <f aca="false">IF(A439="","",WEEKDAY(A439,2))</f>
        <v/>
      </c>
    </row>
    <row r="440" customFormat="false" ht="15" hidden="false" customHeight="false" outlineLevel="0" collapsed="false">
      <c r="A440" s="43"/>
      <c r="B440" s="11" t="str">
        <f aca="false">IF(A440="","",TEXT(A440,"ddd"))</f>
        <v/>
      </c>
      <c r="C440" s="44"/>
      <c r="D440" s="16"/>
      <c r="E440" s="16"/>
      <c r="F440" s="16"/>
      <c r="G440" s="16"/>
      <c r="H440" s="45"/>
      <c r="I440" s="45"/>
      <c r="J440" s="11" t="str">
        <f aca="false">IF(I440="","",LEN(I440))</f>
        <v/>
      </c>
      <c r="K440" s="16"/>
      <c r="L440" s="16"/>
      <c r="M440" s="11" t="str">
        <f aca="false">IF(L440="","",IFERROR(INDEX('Hashtag Bank'!$E$5:$E$104,MATCH(L440,'Hashtag Bank'!$B$5:$B$104,0)),""))</f>
        <v/>
      </c>
      <c r="N440" s="16"/>
      <c r="O440" s="16"/>
      <c r="P440" s="16"/>
      <c r="Q440" s="46" t="str">
        <f aca="true">IF(A440&amp;H440="","",TRIM(IF(AND(A440&lt;&gt;"",A440&lt;TODAY(),O440&lt;&gt;"Published",O440&lt;&gt;"Repurpose"),"⚠ Overdue ","")&amp;IF(AND(J440&lt;&gt;"",D440&lt;&gt;"",IFERROR(J440&gt;INDEX(Setup!$E$9:$E$18,MATCH(D440,Setup!$B$9:$B$18,0)),FALSE())),"✂ Caption too long ","")&amp;IF(AND(M440&lt;&gt;"",D440&lt;&gt;"",IFERROR(M440&gt;INDEX(Setup!$F$9:$F$18,MATCH(D440,Setup!$B$9:$B$18,0)),FALSE())),"# Too many tags","")))</f>
        <v/>
      </c>
      <c r="R440" s="16"/>
      <c r="S440" s="19"/>
      <c r="T440" s="19"/>
      <c r="U440" s="19"/>
      <c r="V440" s="19"/>
      <c r="W440" s="19"/>
      <c r="X440" s="19"/>
      <c r="Y440" s="19"/>
      <c r="Z440" s="47" t="str">
        <f aca="false">IF(COUNT(U440:X440)=0,"",SUM(U440:X440))</f>
        <v/>
      </c>
      <c r="AA440" s="48" t="str">
        <f aca="false">IF(OR(Z440="",N(T440)=0),"",Z440/T440)</f>
        <v/>
      </c>
      <c r="AB440" s="45"/>
      <c r="AC440" s="51" t="str">
        <f aca="false">IF(A440="","",A440+N(C440)+ROW()/10^7)</f>
        <v/>
      </c>
      <c r="AD440" s="51" t="str">
        <f aca="false">IF(A440="","",TEXT(A440,"0")&amp;"|"&amp;COUNTIFS('Content Log'!$A$5:$A$504,A440,'Content Log'!$AC$5:$AC$504,"&lt;="&amp;AC440))</f>
        <v/>
      </c>
      <c r="AE440" s="51" t="str">
        <f aca="false">IF(A440="","",IFERROR(INDEX(Setup!$N$9:$N$14,MATCH(O440,Setup!$M$9:$M$14,0))&amp;" ","")&amp;IF(C440="","",TEXT(C440,"h:mm AM/PM")&amp;" ")&amp;D440&amp;IF(H440="",""," · "&amp;H440))</f>
        <v/>
      </c>
      <c r="AF440" s="51" t="str">
        <f aca="false">IF(OR(A440="",AA440=""),"",IF(AND(A440&gt;=Dashboard!$G$4,A440&lt;=Dashboard!$I$4),AA440+ROW()/10^9,""))</f>
        <v/>
      </c>
      <c r="AG440" s="51" t="str">
        <f aca="false">IF(A440="","",WEEKDAY(A440,2))</f>
        <v/>
      </c>
    </row>
    <row r="441" customFormat="false" ht="15" hidden="false" customHeight="false" outlineLevel="0" collapsed="false">
      <c r="A441" s="43"/>
      <c r="B441" s="11" t="str">
        <f aca="false">IF(A441="","",TEXT(A441,"ddd"))</f>
        <v/>
      </c>
      <c r="C441" s="44"/>
      <c r="D441" s="16"/>
      <c r="E441" s="16"/>
      <c r="F441" s="16"/>
      <c r="G441" s="16"/>
      <c r="H441" s="45"/>
      <c r="I441" s="45"/>
      <c r="J441" s="11" t="str">
        <f aca="false">IF(I441="","",LEN(I441))</f>
        <v/>
      </c>
      <c r="K441" s="16"/>
      <c r="L441" s="16"/>
      <c r="M441" s="11" t="str">
        <f aca="false">IF(L441="","",IFERROR(INDEX('Hashtag Bank'!$E$5:$E$104,MATCH(L441,'Hashtag Bank'!$B$5:$B$104,0)),""))</f>
        <v/>
      </c>
      <c r="N441" s="16"/>
      <c r="O441" s="16"/>
      <c r="P441" s="16"/>
      <c r="Q441" s="46" t="str">
        <f aca="true">IF(A441&amp;H441="","",TRIM(IF(AND(A441&lt;&gt;"",A441&lt;TODAY(),O441&lt;&gt;"Published",O441&lt;&gt;"Repurpose"),"⚠ Overdue ","")&amp;IF(AND(J441&lt;&gt;"",D441&lt;&gt;"",IFERROR(J441&gt;INDEX(Setup!$E$9:$E$18,MATCH(D441,Setup!$B$9:$B$18,0)),FALSE())),"✂ Caption too long ","")&amp;IF(AND(M441&lt;&gt;"",D441&lt;&gt;"",IFERROR(M441&gt;INDEX(Setup!$F$9:$F$18,MATCH(D441,Setup!$B$9:$B$18,0)),FALSE())),"# Too many tags","")))</f>
        <v/>
      </c>
      <c r="R441" s="16"/>
      <c r="S441" s="19"/>
      <c r="T441" s="19"/>
      <c r="U441" s="19"/>
      <c r="V441" s="19"/>
      <c r="W441" s="19"/>
      <c r="X441" s="19"/>
      <c r="Y441" s="19"/>
      <c r="Z441" s="47" t="str">
        <f aca="false">IF(COUNT(U441:X441)=0,"",SUM(U441:X441))</f>
        <v/>
      </c>
      <c r="AA441" s="48" t="str">
        <f aca="false">IF(OR(Z441="",N(T441)=0),"",Z441/T441)</f>
        <v/>
      </c>
      <c r="AB441" s="45"/>
      <c r="AC441" s="51" t="str">
        <f aca="false">IF(A441="","",A441+N(C441)+ROW()/10^7)</f>
        <v/>
      </c>
      <c r="AD441" s="51" t="str">
        <f aca="false">IF(A441="","",TEXT(A441,"0")&amp;"|"&amp;COUNTIFS('Content Log'!$A$5:$A$504,A441,'Content Log'!$AC$5:$AC$504,"&lt;="&amp;AC441))</f>
        <v/>
      </c>
      <c r="AE441" s="51" t="str">
        <f aca="false">IF(A441="","",IFERROR(INDEX(Setup!$N$9:$N$14,MATCH(O441,Setup!$M$9:$M$14,0))&amp;" ","")&amp;IF(C441="","",TEXT(C441,"h:mm AM/PM")&amp;" ")&amp;D441&amp;IF(H441="",""," · "&amp;H441))</f>
        <v/>
      </c>
      <c r="AF441" s="51" t="str">
        <f aca="false">IF(OR(A441="",AA441=""),"",IF(AND(A441&gt;=Dashboard!$G$4,A441&lt;=Dashboard!$I$4),AA441+ROW()/10^9,""))</f>
        <v/>
      </c>
      <c r="AG441" s="51" t="str">
        <f aca="false">IF(A441="","",WEEKDAY(A441,2))</f>
        <v/>
      </c>
    </row>
    <row r="442" customFormat="false" ht="15" hidden="false" customHeight="false" outlineLevel="0" collapsed="false">
      <c r="A442" s="43"/>
      <c r="B442" s="11" t="str">
        <f aca="false">IF(A442="","",TEXT(A442,"ddd"))</f>
        <v/>
      </c>
      <c r="C442" s="44"/>
      <c r="D442" s="16"/>
      <c r="E442" s="16"/>
      <c r="F442" s="16"/>
      <c r="G442" s="16"/>
      <c r="H442" s="45"/>
      <c r="I442" s="45"/>
      <c r="J442" s="11" t="str">
        <f aca="false">IF(I442="","",LEN(I442))</f>
        <v/>
      </c>
      <c r="K442" s="16"/>
      <c r="L442" s="16"/>
      <c r="M442" s="11" t="str">
        <f aca="false">IF(L442="","",IFERROR(INDEX('Hashtag Bank'!$E$5:$E$104,MATCH(L442,'Hashtag Bank'!$B$5:$B$104,0)),""))</f>
        <v/>
      </c>
      <c r="N442" s="16"/>
      <c r="O442" s="16"/>
      <c r="P442" s="16"/>
      <c r="Q442" s="46" t="str">
        <f aca="true">IF(A442&amp;H442="","",TRIM(IF(AND(A442&lt;&gt;"",A442&lt;TODAY(),O442&lt;&gt;"Published",O442&lt;&gt;"Repurpose"),"⚠ Overdue ","")&amp;IF(AND(J442&lt;&gt;"",D442&lt;&gt;"",IFERROR(J442&gt;INDEX(Setup!$E$9:$E$18,MATCH(D442,Setup!$B$9:$B$18,0)),FALSE())),"✂ Caption too long ","")&amp;IF(AND(M442&lt;&gt;"",D442&lt;&gt;"",IFERROR(M442&gt;INDEX(Setup!$F$9:$F$18,MATCH(D442,Setup!$B$9:$B$18,0)),FALSE())),"# Too many tags","")))</f>
        <v/>
      </c>
      <c r="R442" s="16"/>
      <c r="S442" s="19"/>
      <c r="T442" s="19"/>
      <c r="U442" s="19"/>
      <c r="V442" s="19"/>
      <c r="W442" s="19"/>
      <c r="X442" s="19"/>
      <c r="Y442" s="19"/>
      <c r="Z442" s="47" t="str">
        <f aca="false">IF(COUNT(U442:X442)=0,"",SUM(U442:X442))</f>
        <v/>
      </c>
      <c r="AA442" s="48" t="str">
        <f aca="false">IF(OR(Z442="",N(T442)=0),"",Z442/T442)</f>
        <v/>
      </c>
      <c r="AB442" s="45"/>
      <c r="AC442" s="51" t="str">
        <f aca="false">IF(A442="","",A442+N(C442)+ROW()/10^7)</f>
        <v/>
      </c>
      <c r="AD442" s="51" t="str">
        <f aca="false">IF(A442="","",TEXT(A442,"0")&amp;"|"&amp;COUNTIFS('Content Log'!$A$5:$A$504,A442,'Content Log'!$AC$5:$AC$504,"&lt;="&amp;AC442))</f>
        <v/>
      </c>
      <c r="AE442" s="51" t="str">
        <f aca="false">IF(A442="","",IFERROR(INDEX(Setup!$N$9:$N$14,MATCH(O442,Setup!$M$9:$M$14,0))&amp;" ","")&amp;IF(C442="","",TEXT(C442,"h:mm AM/PM")&amp;" ")&amp;D442&amp;IF(H442="",""," · "&amp;H442))</f>
        <v/>
      </c>
      <c r="AF442" s="51" t="str">
        <f aca="false">IF(OR(A442="",AA442=""),"",IF(AND(A442&gt;=Dashboard!$G$4,A442&lt;=Dashboard!$I$4),AA442+ROW()/10^9,""))</f>
        <v/>
      </c>
      <c r="AG442" s="51" t="str">
        <f aca="false">IF(A442="","",WEEKDAY(A442,2))</f>
        <v/>
      </c>
    </row>
    <row r="443" customFormat="false" ht="15" hidden="false" customHeight="false" outlineLevel="0" collapsed="false">
      <c r="A443" s="43"/>
      <c r="B443" s="11" t="str">
        <f aca="false">IF(A443="","",TEXT(A443,"ddd"))</f>
        <v/>
      </c>
      <c r="C443" s="44"/>
      <c r="D443" s="16"/>
      <c r="E443" s="16"/>
      <c r="F443" s="16"/>
      <c r="G443" s="16"/>
      <c r="H443" s="45"/>
      <c r="I443" s="45"/>
      <c r="J443" s="11" t="str">
        <f aca="false">IF(I443="","",LEN(I443))</f>
        <v/>
      </c>
      <c r="K443" s="16"/>
      <c r="L443" s="16"/>
      <c r="M443" s="11" t="str">
        <f aca="false">IF(L443="","",IFERROR(INDEX('Hashtag Bank'!$E$5:$E$104,MATCH(L443,'Hashtag Bank'!$B$5:$B$104,0)),""))</f>
        <v/>
      </c>
      <c r="N443" s="16"/>
      <c r="O443" s="16"/>
      <c r="P443" s="16"/>
      <c r="Q443" s="46" t="str">
        <f aca="true">IF(A443&amp;H443="","",TRIM(IF(AND(A443&lt;&gt;"",A443&lt;TODAY(),O443&lt;&gt;"Published",O443&lt;&gt;"Repurpose"),"⚠ Overdue ","")&amp;IF(AND(J443&lt;&gt;"",D443&lt;&gt;"",IFERROR(J443&gt;INDEX(Setup!$E$9:$E$18,MATCH(D443,Setup!$B$9:$B$18,0)),FALSE())),"✂ Caption too long ","")&amp;IF(AND(M443&lt;&gt;"",D443&lt;&gt;"",IFERROR(M443&gt;INDEX(Setup!$F$9:$F$18,MATCH(D443,Setup!$B$9:$B$18,0)),FALSE())),"# Too many tags","")))</f>
        <v/>
      </c>
      <c r="R443" s="16"/>
      <c r="S443" s="19"/>
      <c r="T443" s="19"/>
      <c r="U443" s="19"/>
      <c r="V443" s="19"/>
      <c r="W443" s="19"/>
      <c r="X443" s="19"/>
      <c r="Y443" s="19"/>
      <c r="Z443" s="47" t="str">
        <f aca="false">IF(COUNT(U443:X443)=0,"",SUM(U443:X443))</f>
        <v/>
      </c>
      <c r="AA443" s="48" t="str">
        <f aca="false">IF(OR(Z443="",N(T443)=0),"",Z443/T443)</f>
        <v/>
      </c>
      <c r="AB443" s="45"/>
      <c r="AC443" s="51" t="str">
        <f aca="false">IF(A443="","",A443+N(C443)+ROW()/10^7)</f>
        <v/>
      </c>
      <c r="AD443" s="51" t="str">
        <f aca="false">IF(A443="","",TEXT(A443,"0")&amp;"|"&amp;COUNTIFS('Content Log'!$A$5:$A$504,A443,'Content Log'!$AC$5:$AC$504,"&lt;="&amp;AC443))</f>
        <v/>
      </c>
      <c r="AE443" s="51" t="str">
        <f aca="false">IF(A443="","",IFERROR(INDEX(Setup!$N$9:$N$14,MATCH(O443,Setup!$M$9:$M$14,0))&amp;" ","")&amp;IF(C443="","",TEXT(C443,"h:mm AM/PM")&amp;" ")&amp;D443&amp;IF(H443="",""," · "&amp;H443))</f>
        <v/>
      </c>
      <c r="AF443" s="51" t="str">
        <f aca="false">IF(OR(A443="",AA443=""),"",IF(AND(A443&gt;=Dashboard!$G$4,A443&lt;=Dashboard!$I$4),AA443+ROW()/10^9,""))</f>
        <v/>
      </c>
      <c r="AG443" s="51" t="str">
        <f aca="false">IF(A443="","",WEEKDAY(A443,2))</f>
        <v/>
      </c>
    </row>
    <row r="444" customFormat="false" ht="15" hidden="false" customHeight="false" outlineLevel="0" collapsed="false">
      <c r="A444" s="43"/>
      <c r="B444" s="11" t="str">
        <f aca="false">IF(A444="","",TEXT(A444,"ddd"))</f>
        <v/>
      </c>
      <c r="C444" s="44"/>
      <c r="D444" s="16"/>
      <c r="E444" s="16"/>
      <c r="F444" s="16"/>
      <c r="G444" s="16"/>
      <c r="H444" s="45"/>
      <c r="I444" s="45"/>
      <c r="J444" s="11" t="str">
        <f aca="false">IF(I444="","",LEN(I444))</f>
        <v/>
      </c>
      <c r="K444" s="16"/>
      <c r="L444" s="16"/>
      <c r="M444" s="11" t="str">
        <f aca="false">IF(L444="","",IFERROR(INDEX('Hashtag Bank'!$E$5:$E$104,MATCH(L444,'Hashtag Bank'!$B$5:$B$104,0)),""))</f>
        <v/>
      </c>
      <c r="N444" s="16"/>
      <c r="O444" s="16"/>
      <c r="P444" s="16"/>
      <c r="Q444" s="46" t="str">
        <f aca="true">IF(A444&amp;H444="","",TRIM(IF(AND(A444&lt;&gt;"",A444&lt;TODAY(),O444&lt;&gt;"Published",O444&lt;&gt;"Repurpose"),"⚠ Overdue ","")&amp;IF(AND(J444&lt;&gt;"",D444&lt;&gt;"",IFERROR(J444&gt;INDEX(Setup!$E$9:$E$18,MATCH(D444,Setup!$B$9:$B$18,0)),FALSE())),"✂ Caption too long ","")&amp;IF(AND(M444&lt;&gt;"",D444&lt;&gt;"",IFERROR(M444&gt;INDEX(Setup!$F$9:$F$18,MATCH(D444,Setup!$B$9:$B$18,0)),FALSE())),"# Too many tags","")))</f>
        <v/>
      </c>
      <c r="R444" s="16"/>
      <c r="S444" s="19"/>
      <c r="T444" s="19"/>
      <c r="U444" s="19"/>
      <c r="V444" s="19"/>
      <c r="W444" s="19"/>
      <c r="X444" s="19"/>
      <c r="Y444" s="19"/>
      <c r="Z444" s="47" t="str">
        <f aca="false">IF(COUNT(U444:X444)=0,"",SUM(U444:X444))</f>
        <v/>
      </c>
      <c r="AA444" s="48" t="str">
        <f aca="false">IF(OR(Z444="",N(T444)=0),"",Z444/T444)</f>
        <v/>
      </c>
      <c r="AB444" s="45"/>
      <c r="AC444" s="51" t="str">
        <f aca="false">IF(A444="","",A444+N(C444)+ROW()/10^7)</f>
        <v/>
      </c>
      <c r="AD444" s="51" t="str">
        <f aca="false">IF(A444="","",TEXT(A444,"0")&amp;"|"&amp;COUNTIFS('Content Log'!$A$5:$A$504,A444,'Content Log'!$AC$5:$AC$504,"&lt;="&amp;AC444))</f>
        <v/>
      </c>
      <c r="AE444" s="51" t="str">
        <f aca="false">IF(A444="","",IFERROR(INDEX(Setup!$N$9:$N$14,MATCH(O444,Setup!$M$9:$M$14,0))&amp;" ","")&amp;IF(C444="","",TEXT(C444,"h:mm AM/PM")&amp;" ")&amp;D444&amp;IF(H444="",""," · "&amp;H444))</f>
        <v/>
      </c>
      <c r="AF444" s="51" t="str">
        <f aca="false">IF(OR(A444="",AA444=""),"",IF(AND(A444&gt;=Dashboard!$G$4,A444&lt;=Dashboard!$I$4),AA444+ROW()/10^9,""))</f>
        <v/>
      </c>
      <c r="AG444" s="51" t="str">
        <f aca="false">IF(A444="","",WEEKDAY(A444,2))</f>
        <v/>
      </c>
    </row>
    <row r="445" customFormat="false" ht="15" hidden="false" customHeight="false" outlineLevel="0" collapsed="false">
      <c r="A445" s="43"/>
      <c r="B445" s="11" t="str">
        <f aca="false">IF(A445="","",TEXT(A445,"ddd"))</f>
        <v/>
      </c>
      <c r="C445" s="44"/>
      <c r="D445" s="16"/>
      <c r="E445" s="16"/>
      <c r="F445" s="16"/>
      <c r="G445" s="16"/>
      <c r="H445" s="45"/>
      <c r="I445" s="45"/>
      <c r="J445" s="11" t="str">
        <f aca="false">IF(I445="","",LEN(I445))</f>
        <v/>
      </c>
      <c r="K445" s="16"/>
      <c r="L445" s="16"/>
      <c r="M445" s="11" t="str">
        <f aca="false">IF(L445="","",IFERROR(INDEX('Hashtag Bank'!$E$5:$E$104,MATCH(L445,'Hashtag Bank'!$B$5:$B$104,0)),""))</f>
        <v/>
      </c>
      <c r="N445" s="16"/>
      <c r="O445" s="16"/>
      <c r="P445" s="16"/>
      <c r="Q445" s="46" t="str">
        <f aca="true">IF(A445&amp;H445="","",TRIM(IF(AND(A445&lt;&gt;"",A445&lt;TODAY(),O445&lt;&gt;"Published",O445&lt;&gt;"Repurpose"),"⚠ Overdue ","")&amp;IF(AND(J445&lt;&gt;"",D445&lt;&gt;"",IFERROR(J445&gt;INDEX(Setup!$E$9:$E$18,MATCH(D445,Setup!$B$9:$B$18,0)),FALSE())),"✂ Caption too long ","")&amp;IF(AND(M445&lt;&gt;"",D445&lt;&gt;"",IFERROR(M445&gt;INDEX(Setup!$F$9:$F$18,MATCH(D445,Setup!$B$9:$B$18,0)),FALSE())),"# Too many tags","")))</f>
        <v/>
      </c>
      <c r="R445" s="16"/>
      <c r="S445" s="19"/>
      <c r="T445" s="19"/>
      <c r="U445" s="19"/>
      <c r="V445" s="19"/>
      <c r="W445" s="19"/>
      <c r="X445" s="19"/>
      <c r="Y445" s="19"/>
      <c r="Z445" s="47" t="str">
        <f aca="false">IF(COUNT(U445:X445)=0,"",SUM(U445:X445))</f>
        <v/>
      </c>
      <c r="AA445" s="48" t="str">
        <f aca="false">IF(OR(Z445="",N(T445)=0),"",Z445/T445)</f>
        <v/>
      </c>
      <c r="AB445" s="45"/>
      <c r="AC445" s="51" t="str">
        <f aca="false">IF(A445="","",A445+N(C445)+ROW()/10^7)</f>
        <v/>
      </c>
      <c r="AD445" s="51" t="str">
        <f aca="false">IF(A445="","",TEXT(A445,"0")&amp;"|"&amp;COUNTIFS('Content Log'!$A$5:$A$504,A445,'Content Log'!$AC$5:$AC$504,"&lt;="&amp;AC445))</f>
        <v/>
      </c>
      <c r="AE445" s="51" t="str">
        <f aca="false">IF(A445="","",IFERROR(INDEX(Setup!$N$9:$N$14,MATCH(O445,Setup!$M$9:$M$14,0))&amp;" ","")&amp;IF(C445="","",TEXT(C445,"h:mm AM/PM")&amp;" ")&amp;D445&amp;IF(H445="",""," · "&amp;H445))</f>
        <v/>
      </c>
      <c r="AF445" s="51" t="str">
        <f aca="false">IF(OR(A445="",AA445=""),"",IF(AND(A445&gt;=Dashboard!$G$4,A445&lt;=Dashboard!$I$4),AA445+ROW()/10^9,""))</f>
        <v/>
      </c>
      <c r="AG445" s="51" t="str">
        <f aca="false">IF(A445="","",WEEKDAY(A445,2))</f>
        <v/>
      </c>
    </row>
    <row r="446" customFormat="false" ht="15" hidden="false" customHeight="false" outlineLevel="0" collapsed="false">
      <c r="A446" s="43"/>
      <c r="B446" s="11" t="str">
        <f aca="false">IF(A446="","",TEXT(A446,"ddd"))</f>
        <v/>
      </c>
      <c r="C446" s="44"/>
      <c r="D446" s="16"/>
      <c r="E446" s="16"/>
      <c r="F446" s="16"/>
      <c r="G446" s="16"/>
      <c r="H446" s="45"/>
      <c r="I446" s="45"/>
      <c r="J446" s="11" t="str">
        <f aca="false">IF(I446="","",LEN(I446))</f>
        <v/>
      </c>
      <c r="K446" s="16"/>
      <c r="L446" s="16"/>
      <c r="M446" s="11" t="str">
        <f aca="false">IF(L446="","",IFERROR(INDEX('Hashtag Bank'!$E$5:$E$104,MATCH(L446,'Hashtag Bank'!$B$5:$B$104,0)),""))</f>
        <v/>
      </c>
      <c r="N446" s="16"/>
      <c r="O446" s="16"/>
      <c r="P446" s="16"/>
      <c r="Q446" s="46" t="str">
        <f aca="true">IF(A446&amp;H446="","",TRIM(IF(AND(A446&lt;&gt;"",A446&lt;TODAY(),O446&lt;&gt;"Published",O446&lt;&gt;"Repurpose"),"⚠ Overdue ","")&amp;IF(AND(J446&lt;&gt;"",D446&lt;&gt;"",IFERROR(J446&gt;INDEX(Setup!$E$9:$E$18,MATCH(D446,Setup!$B$9:$B$18,0)),FALSE())),"✂ Caption too long ","")&amp;IF(AND(M446&lt;&gt;"",D446&lt;&gt;"",IFERROR(M446&gt;INDEX(Setup!$F$9:$F$18,MATCH(D446,Setup!$B$9:$B$18,0)),FALSE())),"# Too many tags","")))</f>
        <v/>
      </c>
      <c r="R446" s="16"/>
      <c r="S446" s="19"/>
      <c r="T446" s="19"/>
      <c r="U446" s="19"/>
      <c r="V446" s="19"/>
      <c r="W446" s="19"/>
      <c r="X446" s="19"/>
      <c r="Y446" s="19"/>
      <c r="Z446" s="47" t="str">
        <f aca="false">IF(COUNT(U446:X446)=0,"",SUM(U446:X446))</f>
        <v/>
      </c>
      <c r="AA446" s="48" t="str">
        <f aca="false">IF(OR(Z446="",N(T446)=0),"",Z446/T446)</f>
        <v/>
      </c>
      <c r="AB446" s="45"/>
      <c r="AC446" s="51" t="str">
        <f aca="false">IF(A446="","",A446+N(C446)+ROW()/10^7)</f>
        <v/>
      </c>
      <c r="AD446" s="51" t="str">
        <f aca="false">IF(A446="","",TEXT(A446,"0")&amp;"|"&amp;COUNTIFS('Content Log'!$A$5:$A$504,A446,'Content Log'!$AC$5:$AC$504,"&lt;="&amp;AC446))</f>
        <v/>
      </c>
      <c r="AE446" s="51" t="str">
        <f aca="false">IF(A446="","",IFERROR(INDEX(Setup!$N$9:$N$14,MATCH(O446,Setup!$M$9:$M$14,0))&amp;" ","")&amp;IF(C446="","",TEXT(C446,"h:mm AM/PM")&amp;" ")&amp;D446&amp;IF(H446="",""," · "&amp;H446))</f>
        <v/>
      </c>
      <c r="AF446" s="51" t="str">
        <f aca="false">IF(OR(A446="",AA446=""),"",IF(AND(A446&gt;=Dashboard!$G$4,A446&lt;=Dashboard!$I$4),AA446+ROW()/10^9,""))</f>
        <v/>
      </c>
      <c r="AG446" s="51" t="str">
        <f aca="false">IF(A446="","",WEEKDAY(A446,2))</f>
        <v/>
      </c>
    </row>
    <row r="447" customFormat="false" ht="15" hidden="false" customHeight="false" outlineLevel="0" collapsed="false">
      <c r="A447" s="43"/>
      <c r="B447" s="11" t="str">
        <f aca="false">IF(A447="","",TEXT(A447,"ddd"))</f>
        <v/>
      </c>
      <c r="C447" s="44"/>
      <c r="D447" s="16"/>
      <c r="E447" s="16"/>
      <c r="F447" s="16"/>
      <c r="G447" s="16"/>
      <c r="H447" s="45"/>
      <c r="I447" s="45"/>
      <c r="J447" s="11" t="str">
        <f aca="false">IF(I447="","",LEN(I447))</f>
        <v/>
      </c>
      <c r="K447" s="16"/>
      <c r="L447" s="16"/>
      <c r="M447" s="11" t="str">
        <f aca="false">IF(L447="","",IFERROR(INDEX('Hashtag Bank'!$E$5:$E$104,MATCH(L447,'Hashtag Bank'!$B$5:$B$104,0)),""))</f>
        <v/>
      </c>
      <c r="N447" s="16"/>
      <c r="O447" s="16"/>
      <c r="P447" s="16"/>
      <c r="Q447" s="46" t="str">
        <f aca="true">IF(A447&amp;H447="","",TRIM(IF(AND(A447&lt;&gt;"",A447&lt;TODAY(),O447&lt;&gt;"Published",O447&lt;&gt;"Repurpose"),"⚠ Overdue ","")&amp;IF(AND(J447&lt;&gt;"",D447&lt;&gt;"",IFERROR(J447&gt;INDEX(Setup!$E$9:$E$18,MATCH(D447,Setup!$B$9:$B$18,0)),FALSE())),"✂ Caption too long ","")&amp;IF(AND(M447&lt;&gt;"",D447&lt;&gt;"",IFERROR(M447&gt;INDEX(Setup!$F$9:$F$18,MATCH(D447,Setup!$B$9:$B$18,0)),FALSE())),"# Too many tags","")))</f>
        <v/>
      </c>
      <c r="R447" s="16"/>
      <c r="S447" s="19"/>
      <c r="T447" s="19"/>
      <c r="U447" s="19"/>
      <c r="V447" s="19"/>
      <c r="W447" s="19"/>
      <c r="X447" s="19"/>
      <c r="Y447" s="19"/>
      <c r="Z447" s="47" t="str">
        <f aca="false">IF(COUNT(U447:X447)=0,"",SUM(U447:X447))</f>
        <v/>
      </c>
      <c r="AA447" s="48" t="str">
        <f aca="false">IF(OR(Z447="",N(T447)=0),"",Z447/T447)</f>
        <v/>
      </c>
      <c r="AB447" s="45"/>
      <c r="AC447" s="51" t="str">
        <f aca="false">IF(A447="","",A447+N(C447)+ROW()/10^7)</f>
        <v/>
      </c>
      <c r="AD447" s="51" t="str">
        <f aca="false">IF(A447="","",TEXT(A447,"0")&amp;"|"&amp;COUNTIFS('Content Log'!$A$5:$A$504,A447,'Content Log'!$AC$5:$AC$504,"&lt;="&amp;AC447))</f>
        <v/>
      </c>
      <c r="AE447" s="51" t="str">
        <f aca="false">IF(A447="","",IFERROR(INDEX(Setup!$N$9:$N$14,MATCH(O447,Setup!$M$9:$M$14,0))&amp;" ","")&amp;IF(C447="","",TEXT(C447,"h:mm AM/PM")&amp;" ")&amp;D447&amp;IF(H447="",""," · "&amp;H447))</f>
        <v/>
      </c>
      <c r="AF447" s="51" t="str">
        <f aca="false">IF(OR(A447="",AA447=""),"",IF(AND(A447&gt;=Dashboard!$G$4,A447&lt;=Dashboard!$I$4),AA447+ROW()/10^9,""))</f>
        <v/>
      </c>
      <c r="AG447" s="51" t="str">
        <f aca="false">IF(A447="","",WEEKDAY(A447,2))</f>
        <v/>
      </c>
    </row>
    <row r="448" customFormat="false" ht="15" hidden="false" customHeight="false" outlineLevel="0" collapsed="false">
      <c r="A448" s="43"/>
      <c r="B448" s="11" t="str">
        <f aca="false">IF(A448="","",TEXT(A448,"ddd"))</f>
        <v/>
      </c>
      <c r="C448" s="44"/>
      <c r="D448" s="16"/>
      <c r="E448" s="16"/>
      <c r="F448" s="16"/>
      <c r="G448" s="16"/>
      <c r="H448" s="45"/>
      <c r="I448" s="45"/>
      <c r="J448" s="11" t="str">
        <f aca="false">IF(I448="","",LEN(I448))</f>
        <v/>
      </c>
      <c r="K448" s="16"/>
      <c r="L448" s="16"/>
      <c r="M448" s="11" t="str">
        <f aca="false">IF(L448="","",IFERROR(INDEX('Hashtag Bank'!$E$5:$E$104,MATCH(L448,'Hashtag Bank'!$B$5:$B$104,0)),""))</f>
        <v/>
      </c>
      <c r="N448" s="16"/>
      <c r="O448" s="16"/>
      <c r="P448" s="16"/>
      <c r="Q448" s="46" t="str">
        <f aca="true">IF(A448&amp;H448="","",TRIM(IF(AND(A448&lt;&gt;"",A448&lt;TODAY(),O448&lt;&gt;"Published",O448&lt;&gt;"Repurpose"),"⚠ Overdue ","")&amp;IF(AND(J448&lt;&gt;"",D448&lt;&gt;"",IFERROR(J448&gt;INDEX(Setup!$E$9:$E$18,MATCH(D448,Setup!$B$9:$B$18,0)),FALSE())),"✂ Caption too long ","")&amp;IF(AND(M448&lt;&gt;"",D448&lt;&gt;"",IFERROR(M448&gt;INDEX(Setup!$F$9:$F$18,MATCH(D448,Setup!$B$9:$B$18,0)),FALSE())),"# Too many tags","")))</f>
        <v/>
      </c>
      <c r="R448" s="16"/>
      <c r="S448" s="19"/>
      <c r="T448" s="19"/>
      <c r="U448" s="19"/>
      <c r="V448" s="19"/>
      <c r="W448" s="19"/>
      <c r="X448" s="19"/>
      <c r="Y448" s="19"/>
      <c r="Z448" s="47" t="str">
        <f aca="false">IF(COUNT(U448:X448)=0,"",SUM(U448:X448))</f>
        <v/>
      </c>
      <c r="AA448" s="48" t="str">
        <f aca="false">IF(OR(Z448="",N(T448)=0),"",Z448/T448)</f>
        <v/>
      </c>
      <c r="AB448" s="45"/>
      <c r="AC448" s="51" t="str">
        <f aca="false">IF(A448="","",A448+N(C448)+ROW()/10^7)</f>
        <v/>
      </c>
      <c r="AD448" s="51" t="str">
        <f aca="false">IF(A448="","",TEXT(A448,"0")&amp;"|"&amp;COUNTIFS('Content Log'!$A$5:$A$504,A448,'Content Log'!$AC$5:$AC$504,"&lt;="&amp;AC448))</f>
        <v/>
      </c>
      <c r="AE448" s="51" t="str">
        <f aca="false">IF(A448="","",IFERROR(INDEX(Setup!$N$9:$N$14,MATCH(O448,Setup!$M$9:$M$14,0))&amp;" ","")&amp;IF(C448="","",TEXT(C448,"h:mm AM/PM")&amp;" ")&amp;D448&amp;IF(H448="",""," · "&amp;H448))</f>
        <v/>
      </c>
      <c r="AF448" s="51" t="str">
        <f aca="false">IF(OR(A448="",AA448=""),"",IF(AND(A448&gt;=Dashboard!$G$4,A448&lt;=Dashboard!$I$4),AA448+ROW()/10^9,""))</f>
        <v/>
      </c>
      <c r="AG448" s="51" t="str">
        <f aca="false">IF(A448="","",WEEKDAY(A448,2))</f>
        <v/>
      </c>
    </row>
    <row r="449" customFormat="false" ht="15" hidden="false" customHeight="false" outlineLevel="0" collapsed="false">
      <c r="A449" s="43"/>
      <c r="B449" s="11" t="str">
        <f aca="false">IF(A449="","",TEXT(A449,"ddd"))</f>
        <v/>
      </c>
      <c r="C449" s="44"/>
      <c r="D449" s="16"/>
      <c r="E449" s="16"/>
      <c r="F449" s="16"/>
      <c r="G449" s="16"/>
      <c r="H449" s="45"/>
      <c r="I449" s="45"/>
      <c r="J449" s="11" t="str">
        <f aca="false">IF(I449="","",LEN(I449))</f>
        <v/>
      </c>
      <c r="K449" s="16"/>
      <c r="L449" s="16"/>
      <c r="M449" s="11" t="str">
        <f aca="false">IF(L449="","",IFERROR(INDEX('Hashtag Bank'!$E$5:$E$104,MATCH(L449,'Hashtag Bank'!$B$5:$B$104,0)),""))</f>
        <v/>
      </c>
      <c r="N449" s="16"/>
      <c r="O449" s="16"/>
      <c r="P449" s="16"/>
      <c r="Q449" s="46" t="str">
        <f aca="true">IF(A449&amp;H449="","",TRIM(IF(AND(A449&lt;&gt;"",A449&lt;TODAY(),O449&lt;&gt;"Published",O449&lt;&gt;"Repurpose"),"⚠ Overdue ","")&amp;IF(AND(J449&lt;&gt;"",D449&lt;&gt;"",IFERROR(J449&gt;INDEX(Setup!$E$9:$E$18,MATCH(D449,Setup!$B$9:$B$18,0)),FALSE())),"✂ Caption too long ","")&amp;IF(AND(M449&lt;&gt;"",D449&lt;&gt;"",IFERROR(M449&gt;INDEX(Setup!$F$9:$F$18,MATCH(D449,Setup!$B$9:$B$18,0)),FALSE())),"# Too many tags","")))</f>
        <v/>
      </c>
      <c r="R449" s="16"/>
      <c r="S449" s="19"/>
      <c r="T449" s="19"/>
      <c r="U449" s="19"/>
      <c r="V449" s="19"/>
      <c r="W449" s="19"/>
      <c r="X449" s="19"/>
      <c r="Y449" s="19"/>
      <c r="Z449" s="47" t="str">
        <f aca="false">IF(COUNT(U449:X449)=0,"",SUM(U449:X449))</f>
        <v/>
      </c>
      <c r="AA449" s="48" t="str">
        <f aca="false">IF(OR(Z449="",N(T449)=0),"",Z449/T449)</f>
        <v/>
      </c>
      <c r="AB449" s="45"/>
      <c r="AC449" s="51" t="str">
        <f aca="false">IF(A449="","",A449+N(C449)+ROW()/10^7)</f>
        <v/>
      </c>
      <c r="AD449" s="51" t="str">
        <f aca="false">IF(A449="","",TEXT(A449,"0")&amp;"|"&amp;COUNTIFS('Content Log'!$A$5:$A$504,A449,'Content Log'!$AC$5:$AC$504,"&lt;="&amp;AC449))</f>
        <v/>
      </c>
      <c r="AE449" s="51" t="str">
        <f aca="false">IF(A449="","",IFERROR(INDEX(Setup!$N$9:$N$14,MATCH(O449,Setup!$M$9:$M$14,0))&amp;" ","")&amp;IF(C449="","",TEXT(C449,"h:mm AM/PM")&amp;" ")&amp;D449&amp;IF(H449="",""," · "&amp;H449))</f>
        <v/>
      </c>
      <c r="AF449" s="51" t="str">
        <f aca="false">IF(OR(A449="",AA449=""),"",IF(AND(A449&gt;=Dashboard!$G$4,A449&lt;=Dashboard!$I$4),AA449+ROW()/10^9,""))</f>
        <v/>
      </c>
      <c r="AG449" s="51" t="str">
        <f aca="false">IF(A449="","",WEEKDAY(A449,2))</f>
        <v/>
      </c>
    </row>
    <row r="450" customFormat="false" ht="15" hidden="false" customHeight="false" outlineLevel="0" collapsed="false">
      <c r="A450" s="43"/>
      <c r="B450" s="11" t="str">
        <f aca="false">IF(A450="","",TEXT(A450,"ddd"))</f>
        <v/>
      </c>
      <c r="C450" s="44"/>
      <c r="D450" s="16"/>
      <c r="E450" s="16"/>
      <c r="F450" s="16"/>
      <c r="G450" s="16"/>
      <c r="H450" s="45"/>
      <c r="I450" s="45"/>
      <c r="J450" s="11" t="str">
        <f aca="false">IF(I450="","",LEN(I450))</f>
        <v/>
      </c>
      <c r="K450" s="16"/>
      <c r="L450" s="16"/>
      <c r="M450" s="11" t="str">
        <f aca="false">IF(L450="","",IFERROR(INDEX('Hashtag Bank'!$E$5:$E$104,MATCH(L450,'Hashtag Bank'!$B$5:$B$104,0)),""))</f>
        <v/>
      </c>
      <c r="N450" s="16"/>
      <c r="O450" s="16"/>
      <c r="P450" s="16"/>
      <c r="Q450" s="46" t="str">
        <f aca="true">IF(A450&amp;H450="","",TRIM(IF(AND(A450&lt;&gt;"",A450&lt;TODAY(),O450&lt;&gt;"Published",O450&lt;&gt;"Repurpose"),"⚠ Overdue ","")&amp;IF(AND(J450&lt;&gt;"",D450&lt;&gt;"",IFERROR(J450&gt;INDEX(Setup!$E$9:$E$18,MATCH(D450,Setup!$B$9:$B$18,0)),FALSE())),"✂ Caption too long ","")&amp;IF(AND(M450&lt;&gt;"",D450&lt;&gt;"",IFERROR(M450&gt;INDEX(Setup!$F$9:$F$18,MATCH(D450,Setup!$B$9:$B$18,0)),FALSE())),"# Too many tags","")))</f>
        <v/>
      </c>
      <c r="R450" s="16"/>
      <c r="S450" s="19"/>
      <c r="T450" s="19"/>
      <c r="U450" s="19"/>
      <c r="V450" s="19"/>
      <c r="W450" s="19"/>
      <c r="X450" s="19"/>
      <c r="Y450" s="19"/>
      <c r="Z450" s="47" t="str">
        <f aca="false">IF(COUNT(U450:X450)=0,"",SUM(U450:X450))</f>
        <v/>
      </c>
      <c r="AA450" s="48" t="str">
        <f aca="false">IF(OR(Z450="",N(T450)=0),"",Z450/T450)</f>
        <v/>
      </c>
      <c r="AB450" s="45"/>
      <c r="AC450" s="51" t="str">
        <f aca="false">IF(A450="","",A450+N(C450)+ROW()/10^7)</f>
        <v/>
      </c>
      <c r="AD450" s="51" t="str">
        <f aca="false">IF(A450="","",TEXT(A450,"0")&amp;"|"&amp;COUNTIFS('Content Log'!$A$5:$A$504,A450,'Content Log'!$AC$5:$AC$504,"&lt;="&amp;AC450))</f>
        <v/>
      </c>
      <c r="AE450" s="51" t="str">
        <f aca="false">IF(A450="","",IFERROR(INDEX(Setup!$N$9:$N$14,MATCH(O450,Setup!$M$9:$M$14,0))&amp;" ","")&amp;IF(C450="","",TEXT(C450,"h:mm AM/PM")&amp;" ")&amp;D450&amp;IF(H450="",""," · "&amp;H450))</f>
        <v/>
      </c>
      <c r="AF450" s="51" t="str">
        <f aca="false">IF(OR(A450="",AA450=""),"",IF(AND(A450&gt;=Dashboard!$G$4,A450&lt;=Dashboard!$I$4),AA450+ROW()/10^9,""))</f>
        <v/>
      </c>
      <c r="AG450" s="51" t="str">
        <f aca="false">IF(A450="","",WEEKDAY(A450,2))</f>
        <v/>
      </c>
    </row>
    <row r="451" customFormat="false" ht="15" hidden="false" customHeight="false" outlineLevel="0" collapsed="false">
      <c r="A451" s="43"/>
      <c r="B451" s="11" t="str">
        <f aca="false">IF(A451="","",TEXT(A451,"ddd"))</f>
        <v/>
      </c>
      <c r="C451" s="44"/>
      <c r="D451" s="16"/>
      <c r="E451" s="16"/>
      <c r="F451" s="16"/>
      <c r="G451" s="16"/>
      <c r="H451" s="45"/>
      <c r="I451" s="45"/>
      <c r="J451" s="11" t="str">
        <f aca="false">IF(I451="","",LEN(I451))</f>
        <v/>
      </c>
      <c r="K451" s="16"/>
      <c r="L451" s="16"/>
      <c r="M451" s="11" t="str">
        <f aca="false">IF(L451="","",IFERROR(INDEX('Hashtag Bank'!$E$5:$E$104,MATCH(L451,'Hashtag Bank'!$B$5:$B$104,0)),""))</f>
        <v/>
      </c>
      <c r="N451" s="16"/>
      <c r="O451" s="16"/>
      <c r="P451" s="16"/>
      <c r="Q451" s="46" t="str">
        <f aca="true">IF(A451&amp;H451="","",TRIM(IF(AND(A451&lt;&gt;"",A451&lt;TODAY(),O451&lt;&gt;"Published",O451&lt;&gt;"Repurpose"),"⚠ Overdue ","")&amp;IF(AND(J451&lt;&gt;"",D451&lt;&gt;"",IFERROR(J451&gt;INDEX(Setup!$E$9:$E$18,MATCH(D451,Setup!$B$9:$B$18,0)),FALSE())),"✂ Caption too long ","")&amp;IF(AND(M451&lt;&gt;"",D451&lt;&gt;"",IFERROR(M451&gt;INDEX(Setup!$F$9:$F$18,MATCH(D451,Setup!$B$9:$B$18,0)),FALSE())),"# Too many tags","")))</f>
        <v/>
      </c>
      <c r="R451" s="16"/>
      <c r="S451" s="19"/>
      <c r="T451" s="19"/>
      <c r="U451" s="19"/>
      <c r="V451" s="19"/>
      <c r="W451" s="19"/>
      <c r="X451" s="19"/>
      <c r="Y451" s="19"/>
      <c r="Z451" s="47" t="str">
        <f aca="false">IF(COUNT(U451:X451)=0,"",SUM(U451:X451))</f>
        <v/>
      </c>
      <c r="AA451" s="48" t="str">
        <f aca="false">IF(OR(Z451="",N(T451)=0),"",Z451/T451)</f>
        <v/>
      </c>
      <c r="AB451" s="45"/>
      <c r="AC451" s="51" t="str">
        <f aca="false">IF(A451="","",A451+N(C451)+ROW()/10^7)</f>
        <v/>
      </c>
      <c r="AD451" s="51" t="str">
        <f aca="false">IF(A451="","",TEXT(A451,"0")&amp;"|"&amp;COUNTIFS('Content Log'!$A$5:$A$504,A451,'Content Log'!$AC$5:$AC$504,"&lt;="&amp;AC451))</f>
        <v/>
      </c>
      <c r="AE451" s="51" t="str">
        <f aca="false">IF(A451="","",IFERROR(INDEX(Setup!$N$9:$N$14,MATCH(O451,Setup!$M$9:$M$14,0))&amp;" ","")&amp;IF(C451="","",TEXT(C451,"h:mm AM/PM")&amp;" ")&amp;D451&amp;IF(H451="",""," · "&amp;H451))</f>
        <v/>
      </c>
      <c r="AF451" s="51" t="str">
        <f aca="false">IF(OR(A451="",AA451=""),"",IF(AND(A451&gt;=Dashboard!$G$4,A451&lt;=Dashboard!$I$4),AA451+ROW()/10^9,""))</f>
        <v/>
      </c>
      <c r="AG451" s="51" t="str">
        <f aca="false">IF(A451="","",WEEKDAY(A451,2))</f>
        <v/>
      </c>
    </row>
    <row r="452" customFormat="false" ht="15" hidden="false" customHeight="false" outlineLevel="0" collapsed="false">
      <c r="A452" s="43"/>
      <c r="B452" s="11" t="str">
        <f aca="false">IF(A452="","",TEXT(A452,"ddd"))</f>
        <v/>
      </c>
      <c r="C452" s="44"/>
      <c r="D452" s="16"/>
      <c r="E452" s="16"/>
      <c r="F452" s="16"/>
      <c r="G452" s="16"/>
      <c r="H452" s="45"/>
      <c r="I452" s="45"/>
      <c r="J452" s="11" t="str">
        <f aca="false">IF(I452="","",LEN(I452))</f>
        <v/>
      </c>
      <c r="K452" s="16"/>
      <c r="L452" s="16"/>
      <c r="M452" s="11" t="str">
        <f aca="false">IF(L452="","",IFERROR(INDEX('Hashtag Bank'!$E$5:$E$104,MATCH(L452,'Hashtag Bank'!$B$5:$B$104,0)),""))</f>
        <v/>
      </c>
      <c r="N452" s="16"/>
      <c r="O452" s="16"/>
      <c r="P452" s="16"/>
      <c r="Q452" s="46" t="str">
        <f aca="true">IF(A452&amp;H452="","",TRIM(IF(AND(A452&lt;&gt;"",A452&lt;TODAY(),O452&lt;&gt;"Published",O452&lt;&gt;"Repurpose"),"⚠ Overdue ","")&amp;IF(AND(J452&lt;&gt;"",D452&lt;&gt;"",IFERROR(J452&gt;INDEX(Setup!$E$9:$E$18,MATCH(D452,Setup!$B$9:$B$18,0)),FALSE())),"✂ Caption too long ","")&amp;IF(AND(M452&lt;&gt;"",D452&lt;&gt;"",IFERROR(M452&gt;INDEX(Setup!$F$9:$F$18,MATCH(D452,Setup!$B$9:$B$18,0)),FALSE())),"# Too many tags","")))</f>
        <v/>
      </c>
      <c r="R452" s="16"/>
      <c r="S452" s="19"/>
      <c r="T452" s="19"/>
      <c r="U452" s="19"/>
      <c r="V452" s="19"/>
      <c r="W452" s="19"/>
      <c r="X452" s="19"/>
      <c r="Y452" s="19"/>
      <c r="Z452" s="47" t="str">
        <f aca="false">IF(COUNT(U452:X452)=0,"",SUM(U452:X452))</f>
        <v/>
      </c>
      <c r="AA452" s="48" t="str">
        <f aca="false">IF(OR(Z452="",N(T452)=0),"",Z452/T452)</f>
        <v/>
      </c>
      <c r="AB452" s="45"/>
      <c r="AC452" s="51" t="str">
        <f aca="false">IF(A452="","",A452+N(C452)+ROW()/10^7)</f>
        <v/>
      </c>
      <c r="AD452" s="51" t="str">
        <f aca="false">IF(A452="","",TEXT(A452,"0")&amp;"|"&amp;COUNTIFS('Content Log'!$A$5:$A$504,A452,'Content Log'!$AC$5:$AC$504,"&lt;="&amp;AC452))</f>
        <v/>
      </c>
      <c r="AE452" s="51" t="str">
        <f aca="false">IF(A452="","",IFERROR(INDEX(Setup!$N$9:$N$14,MATCH(O452,Setup!$M$9:$M$14,0))&amp;" ","")&amp;IF(C452="","",TEXT(C452,"h:mm AM/PM")&amp;" ")&amp;D452&amp;IF(H452="",""," · "&amp;H452))</f>
        <v/>
      </c>
      <c r="AF452" s="51" t="str">
        <f aca="false">IF(OR(A452="",AA452=""),"",IF(AND(A452&gt;=Dashboard!$G$4,A452&lt;=Dashboard!$I$4),AA452+ROW()/10^9,""))</f>
        <v/>
      </c>
      <c r="AG452" s="51" t="str">
        <f aca="false">IF(A452="","",WEEKDAY(A452,2))</f>
        <v/>
      </c>
    </row>
    <row r="453" customFormat="false" ht="15" hidden="false" customHeight="false" outlineLevel="0" collapsed="false">
      <c r="A453" s="43"/>
      <c r="B453" s="11" t="str">
        <f aca="false">IF(A453="","",TEXT(A453,"ddd"))</f>
        <v/>
      </c>
      <c r="C453" s="44"/>
      <c r="D453" s="16"/>
      <c r="E453" s="16"/>
      <c r="F453" s="16"/>
      <c r="G453" s="16"/>
      <c r="H453" s="45"/>
      <c r="I453" s="45"/>
      <c r="J453" s="11" t="str">
        <f aca="false">IF(I453="","",LEN(I453))</f>
        <v/>
      </c>
      <c r="K453" s="16"/>
      <c r="L453" s="16"/>
      <c r="M453" s="11" t="str">
        <f aca="false">IF(L453="","",IFERROR(INDEX('Hashtag Bank'!$E$5:$E$104,MATCH(L453,'Hashtag Bank'!$B$5:$B$104,0)),""))</f>
        <v/>
      </c>
      <c r="N453" s="16"/>
      <c r="O453" s="16"/>
      <c r="P453" s="16"/>
      <c r="Q453" s="46" t="str">
        <f aca="true">IF(A453&amp;H453="","",TRIM(IF(AND(A453&lt;&gt;"",A453&lt;TODAY(),O453&lt;&gt;"Published",O453&lt;&gt;"Repurpose"),"⚠ Overdue ","")&amp;IF(AND(J453&lt;&gt;"",D453&lt;&gt;"",IFERROR(J453&gt;INDEX(Setup!$E$9:$E$18,MATCH(D453,Setup!$B$9:$B$18,0)),FALSE())),"✂ Caption too long ","")&amp;IF(AND(M453&lt;&gt;"",D453&lt;&gt;"",IFERROR(M453&gt;INDEX(Setup!$F$9:$F$18,MATCH(D453,Setup!$B$9:$B$18,0)),FALSE())),"# Too many tags","")))</f>
        <v/>
      </c>
      <c r="R453" s="16"/>
      <c r="S453" s="19"/>
      <c r="T453" s="19"/>
      <c r="U453" s="19"/>
      <c r="V453" s="19"/>
      <c r="W453" s="19"/>
      <c r="X453" s="19"/>
      <c r="Y453" s="19"/>
      <c r="Z453" s="47" t="str">
        <f aca="false">IF(COUNT(U453:X453)=0,"",SUM(U453:X453))</f>
        <v/>
      </c>
      <c r="AA453" s="48" t="str">
        <f aca="false">IF(OR(Z453="",N(T453)=0),"",Z453/T453)</f>
        <v/>
      </c>
      <c r="AB453" s="45"/>
      <c r="AC453" s="51" t="str">
        <f aca="false">IF(A453="","",A453+N(C453)+ROW()/10^7)</f>
        <v/>
      </c>
      <c r="AD453" s="51" t="str">
        <f aca="false">IF(A453="","",TEXT(A453,"0")&amp;"|"&amp;COUNTIFS('Content Log'!$A$5:$A$504,A453,'Content Log'!$AC$5:$AC$504,"&lt;="&amp;AC453))</f>
        <v/>
      </c>
      <c r="AE453" s="51" t="str">
        <f aca="false">IF(A453="","",IFERROR(INDEX(Setup!$N$9:$N$14,MATCH(O453,Setup!$M$9:$M$14,0))&amp;" ","")&amp;IF(C453="","",TEXT(C453,"h:mm AM/PM")&amp;" ")&amp;D453&amp;IF(H453="",""," · "&amp;H453))</f>
        <v/>
      </c>
      <c r="AF453" s="51" t="str">
        <f aca="false">IF(OR(A453="",AA453=""),"",IF(AND(A453&gt;=Dashboard!$G$4,A453&lt;=Dashboard!$I$4),AA453+ROW()/10^9,""))</f>
        <v/>
      </c>
      <c r="AG453" s="51" t="str">
        <f aca="false">IF(A453="","",WEEKDAY(A453,2))</f>
        <v/>
      </c>
    </row>
    <row r="454" customFormat="false" ht="15" hidden="false" customHeight="false" outlineLevel="0" collapsed="false">
      <c r="A454" s="43"/>
      <c r="B454" s="11" t="str">
        <f aca="false">IF(A454="","",TEXT(A454,"ddd"))</f>
        <v/>
      </c>
      <c r="C454" s="44"/>
      <c r="D454" s="16"/>
      <c r="E454" s="16"/>
      <c r="F454" s="16"/>
      <c r="G454" s="16"/>
      <c r="H454" s="45"/>
      <c r="I454" s="45"/>
      <c r="J454" s="11" t="str">
        <f aca="false">IF(I454="","",LEN(I454))</f>
        <v/>
      </c>
      <c r="K454" s="16"/>
      <c r="L454" s="16"/>
      <c r="M454" s="11" t="str">
        <f aca="false">IF(L454="","",IFERROR(INDEX('Hashtag Bank'!$E$5:$E$104,MATCH(L454,'Hashtag Bank'!$B$5:$B$104,0)),""))</f>
        <v/>
      </c>
      <c r="N454" s="16"/>
      <c r="O454" s="16"/>
      <c r="P454" s="16"/>
      <c r="Q454" s="46" t="str">
        <f aca="true">IF(A454&amp;H454="","",TRIM(IF(AND(A454&lt;&gt;"",A454&lt;TODAY(),O454&lt;&gt;"Published",O454&lt;&gt;"Repurpose"),"⚠ Overdue ","")&amp;IF(AND(J454&lt;&gt;"",D454&lt;&gt;"",IFERROR(J454&gt;INDEX(Setup!$E$9:$E$18,MATCH(D454,Setup!$B$9:$B$18,0)),FALSE())),"✂ Caption too long ","")&amp;IF(AND(M454&lt;&gt;"",D454&lt;&gt;"",IFERROR(M454&gt;INDEX(Setup!$F$9:$F$18,MATCH(D454,Setup!$B$9:$B$18,0)),FALSE())),"# Too many tags","")))</f>
        <v/>
      </c>
      <c r="R454" s="16"/>
      <c r="S454" s="19"/>
      <c r="T454" s="19"/>
      <c r="U454" s="19"/>
      <c r="V454" s="19"/>
      <c r="W454" s="19"/>
      <c r="X454" s="19"/>
      <c r="Y454" s="19"/>
      <c r="Z454" s="47" t="str">
        <f aca="false">IF(COUNT(U454:X454)=0,"",SUM(U454:X454))</f>
        <v/>
      </c>
      <c r="AA454" s="48" t="str">
        <f aca="false">IF(OR(Z454="",N(T454)=0),"",Z454/T454)</f>
        <v/>
      </c>
      <c r="AB454" s="45"/>
      <c r="AC454" s="51" t="str">
        <f aca="false">IF(A454="","",A454+N(C454)+ROW()/10^7)</f>
        <v/>
      </c>
      <c r="AD454" s="51" t="str">
        <f aca="false">IF(A454="","",TEXT(A454,"0")&amp;"|"&amp;COUNTIFS('Content Log'!$A$5:$A$504,A454,'Content Log'!$AC$5:$AC$504,"&lt;="&amp;AC454))</f>
        <v/>
      </c>
      <c r="AE454" s="51" t="str">
        <f aca="false">IF(A454="","",IFERROR(INDEX(Setup!$N$9:$N$14,MATCH(O454,Setup!$M$9:$M$14,0))&amp;" ","")&amp;IF(C454="","",TEXT(C454,"h:mm AM/PM")&amp;" ")&amp;D454&amp;IF(H454="",""," · "&amp;H454))</f>
        <v/>
      </c>
      <c r="AF454" s="51" t="str">
        <f aca="false">IF(OR(A454="",AA454=""),"",IF(AND(A454&gt;=Dashboard!$G$4,A454&lt;=Dashboard!$I$4),AA454+ROW()/10^9,""))</f>
        <v/>
      </c>
      <c r="AG454" s="51" t="str">
        <f aca="false">IF(A454="","",WEEKDAY(A454,2))</f>
        <v/>
      </c>
    </row>
    <row r="455" customFormat="false" ht="15" hidden="false" customHeight="false" outlineLevel="0" collapsed="false">
      <c r="A455" s="43"/>
      <c r="B455" s="11" t="str">
        <f aca="false">IF(A455="","",TEXT(A455,"ddd"))</f>
        <v/>
      </c>
      <c r="C455" s="44"/>
      <c r="D455" s="16"/>
      <c r="E455" s="16"/>
      <c r="F455" s="16"/>
      <c r="G455" s="16"/>
      <c r="H455" s="45"/>
      <c r="I455" s="45"/>
      <c r="J455" s="11" t="str">
        <f aca="false">IF(I455="","",LEN(I455))</f>
        <v/>
      </c>
      <c r="K455" s="16"/>
      <c r="L455" s="16"/>
      <c r="M455" s="11" t="str">
        <f aca="false">IF(L455="","",IFERROR(INDEX('Hashtag Bank'!$E$5:$E$104,MATCH(L455,'Hashtag Bank'!$B$5:$B$104,0)),""))</f>
        <v/>
      </c>
      <c r="N455" s="16"/>
      <c r="O455" s="16"/>
      <c r="P455" s="16"/>
      <c r="Q455" s="46" t="str">
        <f aca="true">IF(A455&amp;H455="","",TRIM(IF(AND(A455&lt;&gt;"",A455&lt;TODAY(),O455&lt;&gt;"Published",O455&lt;&gt;"Repurpose"),"⚠ Overdue ","")&amp;IF(AND(J455&lt;&gt;"",D455&lt;&gt;"",IFERROR(J455&gt;INDEX(Setup!$E$9:$E$18,MATCH(D455,Setup!$B$9:$B$18,0)),FALSE())),"✂ Caption too long ","")&amp;IF(AND(M455&lt;&gt;"",D455&lt;&gt;"",IFERROR(M455&gt;INDEX(Setup!$F$9:$F$18,MATCH(D455,Setup!$B$9:$B$18,0)),FALSE())),"# Too many tags","")))</f>
        <v/>
      </c>
      <c r="R455" s="16"/>
      <c r="S455" s="19"/>
      <c r="T455" s="19"/>
      <c r="U455" s="19"/>
      <c r="V455" s="19"/>
      <c r="W455" s="19"/>
      <c r="X455" s="19"/>
      <c r="Y455" s="19"/>
      <c r="Z455" s="47" t="str">
        <f aca="false">IF(COUNT(U455:X455)=0,"",SUM(U455:X455))</f>
        <v/>
      </c>
      <c r="AA455" s="48" t="str">
        <f aca="false">IF(OR(Z455="",N(T455)=0),"",Z455/T455)</f>
        <v/>
      </c>
      <c r="AB455" s="45"/>
      <c r="AC455" s="51" t="str">
        <f aca="false">IF(A455="","",A455+N(C455)+ROW()/10^7)</f>
        <v/>
      </c>
      <c r="AD455" s="51" t="str">
        <f aca="false">IF(A455="","",TEXT(A455,"0")&amp;"|"&amp;COUNTIFS('Content Log'!$A$5:$A$504,A455,'Content Log'!$AC$5:$AC$504,"&lt;="&amp;AC455))</f>
        <v/>
      </c>
      <c r="AE455" s="51" t="str">
        <f aca="false">IF(A455="","",IFERROR(INDEX(Setup!$N$9:$N$14,MATCH(O455,Setup!$M$9:$M$14,0))&amp;" ","")&amp;IF(C455="","",TEXT(C455,"h:mm AM/PM")&amp;" ")&amp;D455&amp;IF(H455="",""," · "&amp;H455))</f>
        <v/>
      </c>
      <c r="AF455" s="51" t="str">
        <f aca="false">IF(OR(A455="",AA455=""),"",IF(AND(A455&gt;=Dashboard!$G$4,A455&lt;=Dashboard!$I$4),AA455+ROW()/10^9,""))</f>
        <v/>
      </c>
      <c r="AG455" s="51" t="str">
        <f aca="false">IF(A455="","",WEEKDAY(A455,2))</f>
        <v/>
      </c>
    </row>
    <row r="456" customFormat="false" ht="15" hidden="false" customHeight="false" outlineLevel="0" collapsed="false">
      <c r="A456" s="43"/>
      <c r="B456" s="11" t="str">
        <f aca="false">IF(A456="","",TEXT(A456,"ddd"))</f>
        <v/>
      </c>
      <c r="C456" s="44"/>
      <c r="D456" s="16"/>
      <c r="E456" s="16"/>
      <c r="F456" s="16"/>
      <c r="G456" s="16"/>
      <c r="H456" s="45"/>
      <c r="I456" s="45"/>
      <c r="J456" s="11" t="str">
        <f aca="false">IF(I456="","",LEN(I456))</f>
        <v/>
      </c>
      <c r="K456" s="16"/>
      <c r="L456" s="16"/>
      <c r="M456" s="11" t="str">
        <f aca="false">IF(L456="","",IFERROR(INDEX('Hashtag Bank'!$E$5:$E$104,MATCH(L456,'Hashtag Bank'!$B$5:$B$104,0)),""))</f>
        <v/>
      </c>
      <c r="N456" s="16"/>
      <c r="O456" s="16"/>
      <c r="P456" s="16"/>
      <c r="Q456" s="46" t="str">
        <f aca="true">IF(A456&amp;H456="","",TRIM(IF(AND(A456&lt;&gt;"",A456&lt;TODAY(),O456&lt;&gt;"Published",O456&lt;&gt;"Repurpose"),"⚠ Overdue ","")&amp;IF(AND(J456&lt;&gt;"",D456&lt;&gt;"",IFERROR(J456&gt;INDEX(Setup!$E$9:$E$18,MATCH(D456,Setup!$B$9:$B$18,0)),FALSE())),"✂ Caption too long ","")&amp;IF(AND(M456&lt;&gt;"",D456&lt;&gt;"",IFERROR(M456&gt;INDEX(Setup!$F$9:$F$18,MATCH(D456,Setup!$B$9:$B$18,0)),FALSE())),"# Too many tags","")))</f>
        <v/>
      </c>
      <c r="R456" s="16"/>
      <c r="S456" s="19"/>
      <c r="T456" s="19"/>
      <c r="U456" s="19"/>
      <c r="V456" s="19"/>
      <c r="W456" s="19"/>
      <c r="X456" s="19"/>
      <c r="Y456" s="19"/>
      <c r="Z456" s="47" t="str">
        <f aca="false">IF(COUNT(U456:X456)=0,"",SUM(U456:X456))</f>
        <v/>
      </c>
      <c r="AA456" s="48" t="str">
        <f aca="false">IF(OR(Z456="",N(T456)=0),"",Z456/T456)</f>
        <v/>
      </c>
      <c r="AB456" s="45"/>
      <c r="AC456" s="51" t="str">
        <f aca="false">IF(A456="","",A456+N(C456)+ROW()/10^7)</f>
        <v/>
      </c>
      <c r="AD456" s="51" t="str">
        <f aca="false">IF(A456="","",TEXT(A456,"0")&amp;"|"&amp;COUNTIFS('Content Log'!$A$5:$A$504,A456,'Content Log'!$AC$5:$AC$504,"&lt;="&amp;AC456))</f>
        <v/>
      </c>
      <c r="AE456" s="51" t="str">
        <f aca="false">IF(A456="","",IFERROR(INDEX(Setup!$N$9:$N$14,MATCH(O456,Setup!$M$9:$M$14,0))&amp;" ","")&amp;IF(C456="","",TEXT(C456,"h:mm AM/PM")&amp;" ")&amp;D456&amp;IF(H456="",""," · "&amp;H456))</f>
        <v/>
      </c>
      <c r="AF456" s="51" t="str">
        <f aca="false">IF(OR(A456="",AA456=""),"",IF(AND(A456&gt;=Dashboard!$G$4,A456&lt;=Dashboard!$I$4),AA456+ROW()/10^9,""))</f>
        <v/>
      </c>
      <c r="AG456" s="51" t="str">
        <f aca="false">IF(A456="","",WEEKDAY(A456,2))</f>
        <v/>
      </c>
    </row>
    <row r="457" customFormat="false" ht="15" hidden="false" customHeight="false" outlineLevel="0" collapsed="false">
      <c r="A457" s="43"/>
      <c r="B457" s="11" t="str">
        <f aca="false">IF(A457="","",TEXT(A457,"ddd"))</f>
        <v/>
      </c>
      <c r="C457" s="44"/>
      <c r="D457" s="16"/>
      <c r="E457" s="16"/>
      <c r="F457" s="16"/>
      <c r="G457" s="16"/>
      <c r="H457" s="45"/>
      <c r="I457" s="45"/>
      <c r="J457" s="11" t="str">
        <f aca="false">IF(I457="","",LEN(I457))</f>
        <v/>
      </c>
      <c r="K457" s="16"/>
      <c r="L457" s="16"/>
      <c r="M457" s="11" t="str">
        <f aca="false">IF(L457="","",IFERROR(INDEX('Hashtag Bank'!$E$5:$E$104,MATCH(L457,'Hashtag Bank'!$B$5:$B$104,0)),""))</f>
        <v/>
      </c>
      <c r="N457" s="16"/>
      <c r="O457" s="16"/>
      <c r="P457" s="16"/>
      <c r="Q457" s="46" t="str">
        <f aca="true">IF(A457&amp;H457="","",TRIM(IF(AND(A457&lt;&gt;"",A457&lt;TODAY(),O457&lt;&gt;"Published",O457&lt;&gt;"Repurpose"),"⚠ Overdue ","")&amp;IF(AND(J457&lt;&gt;"",D457&lt;&gt;"",IFERROR(J457&gt;INDEX(Setup!$E$9:$E$18,MATCH(D457,Setup!$B$9:$B$18,0)),FALSE())),"✂ Caption too long ","")&amp;IF(AND(M457&lt;&gt;"",D457&lt;&gt;"",IFERROR(M457&gt;INDEX(Setup!$F$9:$F$18,MATCH(D457,Setup!$B$9:$B$18,0)),FALSE())),"# Too many tags","")))</f>
        <v/>
      </c>
      <c r="R457" s="16"/>
      <c r="S457" s="19"/>
      <c r="T457" s="19"/>
      <c r="U457" s="19"/>
      <c r="V457" s="19"/>
      <c r="W457" s="19"/>
      <c r="X457" s="19"/>
      <c r="Y457" s="19"/>
      <c r="Z457" s="47" t="str">
        <f aca="false">IF(COUNT(U457:X457)=0,"",SUM(U457:X457))</f>
        <v/>
      </c>
      <c r="AA457" s="48" t="str">
        <f aca="false">IF(OR(Z457="",N(T457)=0),"",Z457/T457)</f>
        <v/>
      </c>
      <c r="AB457" s="45"/>
      <c r="AC457" s="51" t="str">
        <f aca="false">IF(A457="","",A457+N(C457)+ROW()/10^7)</f>
        <v/>
      </c>
      <c r="AD457" s="51" t="str">
        <f aca="false">IF(A457="","",TEXT(A457,"0")&amp;"|"&amp;COUNTIFS('Content Log'!$A$5:$A$504,A457,'Content Log'!$AC$5:$AC$504,"&lt;="&amp;AC457))</f>
        <v/>
      </c>
      <c r="AE457" s="51" t="str">
        <f aca="false">IF(A457="","",IFERROR(INDEX(Setup!$N$9:$N$14,MATCH(O457,Setup!$M$9:$M$14,0))&amp;" ","")&amp;IF(C457="","",TEXT(C457,"h:mm AM/PM")&amp;" ")&amp;D457&amp;IF(H457="",""," · "&amp;H457))</f>
        <v/>
      </c>
      <c r="AF457" s="51" t="str">
        <f aca="false">IF(OR(A457="",AA457=""),"",IF(AND(A457&gt;=Dashboard!$G$4,A457&lt;=Dashboard!$I$4),AA457+ROW()/10^9,""))</f>
        <v/>
      </c>
      <c r="AG457" s="51" t="str">
        <f aca="false">IF(A457="","",WEEKDAY(A457,2))</f>
        <v/>
      </c>
    </row>
    <row r="458" customFormat="false" ht="15" hidden="false" customHeight="false" outlineLevel="0" collapsed="false">
      <c r="A458" s="43"/>
      <c r="B458" s="11" t="str">
        <f aca="false">IF(A458="","",TEXT(A458,"ddd"))</f>
        <v/>
      </c>
      <c r="C458" s="44"/>
      <c r="D458" s="16"/>
      <c r="E458" s="16"/>
      <c r="F458" s="16"/>
      <c r="G458" s="16"/>
      <c r="H458" s="45"/>
      <c r="I458" s="45"/>
      <c r="J458" s="11" t="str">
        <f aca="false">IF(I458="","",LEN(I458))</f>
        <v/>
      </c>
      <c r="K458" s="16"/>
      <c r="L458" s="16"/>
      <c r="M458" s="11" t="str">
        <f aca="false">IF(L458="","",IFERROR(INDEX('Hashtag Bank'!$E$5:$E$104,MATCH(L458,'Hashtag Bank'!$B$5:$B$104,0)),""))</f>
        <v/>
      </c>
      <c r="N458" s="16"/>
      <c r="O458" s="16"/>
      <c r="P458" s="16"/>
      <c r="Q458" s="46" t="str">
        <f aca="true">IF(A458&amp;H458="","",TRIM(IF(AND(A458&lt;&gt;"",A458&lt;TODAY(),O458&lt;&gt;"Published",O458&lt;&gt;"Repurpose"),"⚠ Overdue ","")&amp;IF(AND(J458&lt;&gt;"",D458&lt;&gt;"",IFERROR(J458&gt;INDEX(Setup!$E$9:$E$18,MATCH(D458,Setup!$B$9:$B$18,0)),FALSE())),"✂ Caption too long ","")&amp;IF(AND(M458&lt;&gt;"",D458&lt;&gt;"",IFERROR(M458&gt;INDEX(Setup!$F$9:$F$18,MATCH(D458,Setup!$B$9:$B$18,0)),FALSE())),"# Too many tags","")))</f>
        <v/>
      </c>
      <c r="R458" s="16"/>
      <c r="S458" s="19"/>
      <c r="T458" s="19"/>
      <c r="U458" s="19"/>
      <c r="V458" s="19"/>
      <c r="W458" s="19"/>
      <c r="X458" s="19"/>
      <c r="Y458" s="19"/>
      <c r="Z458" s="47" t="str">
        <f aca="false">IF(COUNT(U458:X458)=0,"",SUM(U458:X458))</f>
        <v/>
      </c>
      <c r="AA458" s="48" t="str">
        <f aca="false">IF(OR(Z458="",N(T458)=0),"",Z458/T458)</f>
        <v/>
      </c>
      <c r="AB458" s="45"/>
      <c r="AC458" s="51" t="str">
        <f aca="false">IF(A458="","",A458+N(C458)+ROW()/10^7)</f>
        <v/>
      </c>
      <c r="AD458" s="51" t="str">
        <f aca="false">IF(A458="","",TEXT(A458,"0")&amp;"|"&amp;COUNTIFS('Content Log'!$A$5:$A$504,A458,'Content Log'!$AC$5:$AC$504,"&lt;="&amp;AC458))</f>
        <v/>
      </c>
      <c r="AE458" s="51" t="str">
        <f aca="false">IF(A458="","",IFERROR(INDEX(Setup!$N$9:$N$14,MATCH(O458,Setup!$M$9:$M$14,0))&amp;" ","")&amp;IF(C458="","",TEXT(C458,"h:mm AM/PM")&amp;" ")&amp;D458&amp;IF(H458="",""," · "&amp;H458))</f>
        <v/>
      </c>
      <c r="AF458" s="51" t="str">
        <f aca="false">IF(OR(A458="",AA458=""),"",IF(AND(A458&gt;=Dashboard!$G$4,A458&lt;=Dashboard!$I$4),AA458+ROW()/10^9,""))</f>
        <v/>
      </c>
      <c r="AG458" s="51" t="str">
        <f aca="false">IF(A458="","",WEEKDAY(A458,2))</f>
        <v/>
      </c>
    </row>
    <row r="459" customFormat="false" ht="15" hidden="false" customHeight="false" outlineLevel="0" collapsed="false">
      <c r="A459" s="43"/>
      <c r="B459" s="11" t="str">
        <f aca="false">IF(A459="","",TEXT(A459,"ddd"))</f>
        <v/>
      </c>
      <c r="C459" s="44"/>
      <c r="D459" s="16"/>
      <c r="E459" s="16"/>
      <c r="F459" s="16"/>
      <c r="G459" s="16"/>
      <c r="H459" s="45"/>
      <c r="I459" s="45"/>
      <c r="J459" s="11" t="str">
        <f aca="false">IF(I459="","",LEN(I459))</f>
        <v/>
      </c>
      <c r="K459" s="16"/>
      <c r="L459" s="16"/>
      <c r="M459" s="11" t="str">
        <f aca="false">IF(L459="","",IFERROR(INDEX('Hashtag Bank'!$E$5:$E$104,MATCH(L459,'Hashtag Bank'!$B$5:$B$104,0)),""))</f>
        <v/>
      </c>
      <c r="N459" s="16"/>
      <c r="O459" s="16"/>
      <c r="P459" s="16"/>
      <c r="Q459" s="46" t="str">
        <f aca="true">IF(A459&amp;H459="","",TRIM(IF(AND(A459&lt;&gt;"",A459&lt;TODAY(),O459&lt;&gt;"Published",O459&lt;&gt;"Repurpose"),"⚠ Overdue ","")&amp;IF(AND(J459&lt;&gt;"",D459&lt;&gt;"",IFERROR(J459&gt;INDEX(Setup!$E$9:$E$18,MATCH(D459,Setup!$B$9:$B$18,0)),FALSE())),"✂ Caption too long ","")&amp;IF(AND(M459&lt;&gt;"",D459&lt;&gt;"",IFERROR(M459&gt;INDEX(Setup!$F$9:$F$18,MATCH(D459,Setup!$B$9:$B$18,0)),FALSE())),"# Too many tags","")))</f>
        <v/>
      </c>
      <c r="R459" s="16"/>
      <c r="S459" s="19"/>
      <c r="T459" s="19"/>
      <c r="U459" s="19"/>
      <c r="V459" s="19"/>
      <c r="W459" s="19"/>
      <c r="X459" s="19"/>
      <c r="Y459" s="19"/>
      <c r="Z459" s="47" t="str">
        <f aca="false">IF(COUNT(U459:X459)=0,"",SUM(U459:X459))</f>
        <v/>
      </c>
      <c r="AA459" s="48" t="str">
        <f aca="false">IF(OR(Z459="",N(T459)=0),"",Z459/T459)</f>
        <v/>
      </c>
      <c r="AB459" s="45"/>
      <c r="AC459" s="51" t="str">
        <f aca="false">IF(A459="","",A459+N(C459)+ROW()/10^7)</f>
        <v/>
      </c>
      <c r="AD459" s="51" t="str">
        <f aca="false">IF(A459="","",TEXT(A459,"0")&amp;"|"&amp;COUNTIFS('Content Log'!$A$5:$A$504,A459,'Content Log'!$AC$5:$AC$504,"&lt;="&amp;AC459))</f>
        <v/>
      </c>
      <c r="AE459" s="51" t="str">
        <f aca="false">IF(A459="","",IFERROR(INDEX(Setup!$N$9:$N$14,MATCH(O459,Setup!$M$9:$M$14,0))&amp;" ","")&amp;IF(C459="","",TEXT(C459,"h:mm AM/PM")&amp;" ")&amp;D459&amp;IF(H459="",""," · "&amp;H459))</f>
        <v/>
      </c>
      <c r="AF459" s="51" t="str">
        <f aca="false">IF(OR(A459="",AA459=""),"",IF(AND(A459&gt;=Dashboard!$G$4,A459&lt;=Dashboard!$I$4),AA459+ROW()/10^9,""))</f>
        <v/>
      </c>
      <c r="AG459" s="51" t="str">
        <f aca="false">IF(A459="","",WEEKDAY(A459,2))</f>
        <v/>
      </c>
    </row>
    <row r="460" customFormat="false" ht="15" hidden="false" customHeight="false" outlineLevel="0" collapsed="false">
      <c r="A460" s="43"/>
      <c r="B460" s="11" t="str">
        <f aca="false">IF(A460="","",TEXT(A460,"ddd"))</f>
        <v/>
      </c>
      <c r="C460" s="44"/>
      <c r="D460" s="16"/>
      <c r="E460" s="16"/>
      <c r="F460" s="16"/>
      <c r="G460" s="16"/>
      <c r="H460" s="45"/>
      <c r="I460" s="45"/>
      <c r="J460" s="11" t="str">
        <f aca="false">IF(I460="","",LEN(I460))</f>
        <v/>
      </c>
      <c r="K460" s="16"/>
      <c r="L460" s="16"/>
      <c r="M460" s="11" t="str">
        <f aca="false">IF(L460="","",IFERROR(INDEX('Hashtag Bank'!$E$5:$E$104,MATCH(L460,'Hashtag Bank'!$B$5:$B$104,0)),""))</f>
        <v/>
      </c>
      <c r="N460" s="16"/>
      <c r="O460" s="16"/>
      <c r="P460" s="16"/>
      <c r="Q460" s="46" t="str">
        <f aca="true">IF(A460&amp;H460="","",TRIM(IF(AND(A460&lt;&gt;"",A460&lt;TODAY(),O460&lt;&gt;"Published",O460&lt;&gt;"Repurpose"),"⚠ Overdue ","")&amp;IF(AND(J460&lt;&gt;"",D460&lt;&gt;"",IFERROR(J460&gt;INDEX(Setup!$E$9:$E$18,MATCH(D460,Setup!$B$9:$B$18,0)),FALSE())),"✂ Caption too long ","")&amp;IF(AND(M460&lt;&gt;"",D460&lt;&gt;"",IFERROR(M460&gt;INDEX(Setup!$F$9:$F$18,MATCH(D460,Setup!$B$9:$B$18,0)),FALSE())),"# Too many tags","")))</f>
        <v/>
      </c>
      <c r="R460" s="16"/>
      <c r="S460" s="19"/>
      <c r="T460" s="19"/>
      <c r="U460" s="19"/>
      <c r="V460" s="19"/>
      <c r="W460" s="19"/>
      <c r="X460" s="19"/>
      <c r="Y460" s="19"/>
      <c r="Z460" s="47" t="str">
        <f aca="false">IF(COUNT(U460:X460)=0,"",SUM(U460:X460))</f>
        <v/>
      </c>
      <c r="AA460" s="48" t="str">
        <f aca="false">IF(OR(Z460="",N(T460)=0),"",Z460/T460)</f>
        <v/>
      </c>
      <c r="AB460" s="45"/>
      <c r="AC460" s="51" t="str">
        <f aca="false">IF(A460="","",A460+N(C460)+ROW()/10^7)</f>
        <v/>
      </c>
      <c r="AD460" s="51" t="str">
        <f aca="false">IF(A460="","",TEXT(A460,"0")&amp;"|"&amp;COUNTIFS('Content Log'!$A$5:$A$504,A460,'Content Log'!$AC$5:$AC$504,"&lt;="&amp;AC460))</f>
        <v/>
      </c>
      <c r="AE460" s="51" t="str">
        <f aca="false">IF(A460="","",IFERROR(INDEX(Setup!$N$9:$N$14,MATCH(O460,Setup!$M$9:$M$14,0))&amp;" ","")&amp;IF(C460="","",TEXT(C460,"h:mm AM/PM")&amp;" ")&amp;D460&amp;IF(H460="",""," · "&amp;H460))</f>
        <v/>
      </c>
      <c r="AF460" s="51" t="str">
        <f aca="false">IF(OR(A460="",AA460=""),"",IF(AND(A460&gt;=Dashboard!$G$4,A460&lt;=Dashboard!$I$4),AA460+ROW()/10^9,""))</f>
        <v/>
      </c>
      <c r="AG460" s="51" t="str">
        <f aca="false">IF(A460="","",WEEKDAY(A460,2))</f>
        <v/>
      </c>
    </row>
    <row r="461" customFormat="false" ht="15" hidden="false" customHeight="false" outlineLevel="0" collapsed="false">
      <c r="A461" s="43"/>
      <c r="B461" s="11" t="str">
        <f aca="false">IF(A461="","",TEXT(A461,"ddd"))</f>
        <v/>
      </c>
      <c r="C461" s="44"/>
      <c r="D461" s="16"/>
      <c r="E461" s="16"/>
      <c r="F461" s="16"/>
      <c r="G461" s="16"/>
      <c r="H461" s="45"/>
      <c r="I461" s="45"/>
      <c r="J461" s="11" t="str">
        <f aca="false">IF(I461="","",LEN(I461))</f>
        <v/>
      </c>
      <c r="K461" s="16"/>
      <c r="L461" s="16"/>
      <c r="M461" s="11" t="str">
        <f aca="false">IF(L461="","",IFERROR(INDEX('Hashtag Bank'!$E$5:$E$104,MATCH(L461,'Hashtag Bank'!$B$5:$B$104,0)),""))</f>
        <v/>
      </c>
      <c r="N461" s="16"/>
      <c r="O461" s="16"/>
      <c r="P461" s="16"/>
      <c r="Q461" s="46" t="str">
        <f aca="true">IF(A461&amp;H461="","",TRIM(IF(AND(A461&lt;&gt;"",A461&lt;TODAY(),O461&lt;&gt;"Published",O461&lt;&gt;"Repurpose"),"⚠ Overdue ","")&amp;IF(AND(J461&lt;&gt;"",D461&lt;&gt;"",IFERROR(J461&gt;INDEX(Setup!$E$9:$E$18,MATCH(D461,Setup!$B$9:$B$18,0)),FALSE())),"✂ Caption too long ","")&amp;IF(AND(M461&lt;&gt;"",D461&lt;&gt;"",IFERROR(M461&gt;INDEX(Setup!$F$9:$F$18,MATCH(D461,Setup!$B$9:$B$18,0)),FALSE())),"# Too many tags","")))</f>
        <v/>
      </c>
      <c r="R461" s="16"/>
      <c r="S461" s="19"/>
      <c r="T461" s="19"/>
      <c r="U461" s="19"/>
      <c r="V461" s="19"/>
      <c r="W461" s="19"/>
      <c r="X461" s="19"/>
      <c r="Y461" s="19"/>
      <c r="Z461" s="47" t="str">
        <f aca="false">IF(COUNT(U461:X461)=0,"",SUM(U461:X461))</f>
        <v/>
      </c>
      <c r="AA461" s="48" t="str">
        <f aca="false">IF(OR(Z461="",N(T461)=0),"",Z461/T461)</f>
        <v/>
      </c>
      <c r="AB461" s="45"/>
      <c r="AC461" s="51" t="str">
        <f aca="false">IF(A461="","",A461+N(C461)+ROW()/10^7)</f>
        <v/>
      </c>
      <c r="AD461" s="51" t="str">
        <f aca="false">IF(A461="","",TEXT(A461,"0")&amp;"|"&amp;COUNTIFS('Content Log'!$A$5:$A$504,A461,'Content Log'!$AC$5:$AC$504,"&lt;="&amp;AC461))</f>
        <v/>
      </c>
      <c r="AE461" s="51" t="str">
        <f aca="false">IF(A461="","",IFERROR(INDEX(Setup!$N$9:$N$14,MATCH(O461,Setup!$M$9:$M$14,0))&amp;" ","")&amp;IF(C461="","",TEXT(C461,"h:mm AM/PM")&amp;" ")&amp;D461&amp;IF(H461="",""," · "&amp;H461))</f>
        <v/>
      </c>
      <c r="AF461" s="51" t="str">
        <f aca="false">IF(OR(A461="",AA461=""),"",IF(AND(A461&gt;=Dashboard!$G$4,A461&lt;=Dashboard!$I$4),AA461+ROW()/10^9,""))</f>
        <v/>
      </c>
      <c r="AG461" s="51" t="str">
        <f aca="false">IF(A461="","",WEEKDAY(A461,2))</f>
        <v/>
      </c>
    </row>
    <row r="462" customFormat="false" ht="15" hidden="false" customHeight="false" outlineLevel="0" collapsed="false">
      <c r="A462" s="43"/>
      <c r="B462" s="11" t="str">
        <f aca="false">IF(A462="","",TEXT(A462,"ddd"))</f>
        <v/>
      </c>
      <c r="C462" s="44"/>
      <c r="D462" s="16"/>
      <c r="E462" s="16"/>
      <c r="F462" s="16"/>
      <c r="G462" s="16"/>
      <c r="H462" s="45"/>
      <c r="I462" s="45"/>
      <c r="J462" s="11" t="str">
        <f aca="false">IF(I462="","",LEN(I462))</f>
        <v/>
      </c>
      <c r="K462" s="16"/>
      <c r="L462" s="16"/>
      <c r="M462" s="11" t="str">
        <f aca="false">IF(L462="","",IFERROR(INDEX('Hashtag Bank'!$E$5:$E$104,MATCH(L462,'Hashtag Bank'!$B$5:$B$104,0)),""))</f>
        <v/>
      </c>
      <c r="N462" s="16"/>
      <c r="O462" s="16"/>
      <c r="P462" s="16"/>
      <c r="Q462" s="46" t="str">
        <f aca="true">IF(A462&amp;H462="","",TRIM(IF(AND(A462&lt;&gt;"",A462&lt;TODAY(),O462&lt;&gt;"Published",O462&lt;&gt;"Repurpose"),"⚠ Overdue ","")&amp;IF(AND(J462&lt;&gt;"",D462&lt;&gt;"",IFERROR(J462&gt;INDEX(Setup!$E$9:$E$18,MATCH(D462,Setup!$B$9:$B$18,0)),FALSE())),"✂ Caption too long ","")&amp;IF(AND(M462&lt;&gt;"",D462&lt;&gt;"",IFERROR(M462&gt;INDEX(Setup!$F$9:$F$18,MATCH(D462,Setup!$B$9:$B$18,0)),FALSE())),"# Too many tags","")))</f>
        <v/>
      </c>
      <c r="R462" s="16"/>
      <c r="S462" s="19"/>
      <c r="T462" s="19"/>
      <c r="U462" s="19"/>
      <c r="V462" s="19"/>
      <c r="W462" s="19"/>
      <c r="X462" s="19"/>
      <c r="Y462" s="19"/>
      <c r="Z462" s="47" t="str">
        <f aca="false">IF(COUNT(U462:X462)=0,"",SUM(U462:X462))</f>
        <v/>
      </c>
      <c r="AA462" s="48" t="str">
        <f aca="false">IF(OR(Z462="",N(T462)=0),"",Z462/T462)</f>
        <v/>
      </c>
      <c r="AB462" s="45"/>
      <c r="AC462" s="51" t="str">
        <f aca="false">IF(A462="","",A462+N(C462)+ROW()/10^7)</f>
        <v/>
      </c>
      <c r="AD462" s="51" t="str">
        <f aca="false">IF(A462="","",TEXT(A462,"0")&amp;"|"&amp;COUNTIFS('Content Log'!$A$5:$A$504,A462,'Content Log'!$AC$5:$AC$504,"&lt;="&amp;AC462))</f>
        <v/>
      </c>
      <c r="AE462" s="51" t="str">
        <f aca="false">IF(A462="","",IFERROR(INDEX(Setup!$N$9:$N$14,MATCH(O462,Setup!$M$9:$M$14,0))&amp;" ","")&amp;IF(C462="","",TEXT(C462,"h:mm AM/PM")&amp;" ")&amp;D462&amp;IF(H462="",""," · "&amp;H462))</f>
        <v/>
      </c>
      <c r="AF462" s="51" t="str">
        <f aca="false">IF(OR(A462="",AA462=""),"",IF(AND(A462&gt;=Dashboard!$G$4,A462&lt;=Dashboard!$I$4),AA462+ROW()/10^9,""))</f>
        <v/>
      </c>
      <c r="AG462" s="51" t="str">
        <f aca="false">IF(A462="","",WEEKDAY(A462,2))</f>
        <v/>
      </c>
    </row>
    <row r="463" customFormat="false" ht="15" hidden="false" customHeight="false" outlineLevel="0" collapsed="false">
      <c r="A463" s="43"/>
      <c r="B463" s="11" t="str">
        <f aca="false">IF(A463="","",TEXT(A463,"ddd"))</f>
        <v/>
      </c>
      <c r="C463" s="44"/>
      <c r="D463" s="16"/>
      <c r="E463" s="16"/>
      <c r="F463" s="16"/>
      <c r="G463" s="16"/>
      <c r="H463" s="45"/>
      <c r="I463" s="45"/>
      <c r="J463" s="11" t="str">
        <f aca="false">IF(I463="","",LEN(I463))</f>
        <v/>
      </c>
      <c r="K463" s="16"/>
      <c r="L463" s="16"/>
      <c r="M463" s="11" t="str">
        <f aca="false">IF(L463="","",IFERROR(INDEX('Hashtag Bank'!$E$5:$E$104,MATCH(L463,'Hashtag Bank'!$B$5:$B$104,0)),""))</f>
        <v/>
      </c>
      <c r="N463" s="16"/>
      <c r="O463" s="16"/>
      <c r="P463" s="16"/>
      <c r="Q463" s="46" t="str">
        <f aca="true">IF(A463&amp;H463="","",TRIM(IF(AND(A463&lt;&gt;"",A463&lt;TODAY(),O463&lt;&gt;"Published",O463&lt;&gt;"Repurpose"),"⚠ Overdue ","")&amp;IF(AND(J463&lt;&gt;"",D463&lt;&gt;"",IFERROR(J463&gt;INDEX(Setup!$E$9:$E$18,MATCH(D463,Setup!$B$9:$B$18,0)),FALSE())),"✂ Caption too long ","")&amp;IF(AND(M463&lt;&gt;"",D463&lt;&gt;"",IFERROR(M463&gt;INDEX(Setup!$F$9:$F$18,MATCH(D463,Setup!$B$9:$B$18,0)),FALSE())),"# Too many tags","")))</f>
        <v/>
      </c>
      <c r="R463" s="16"/>
      <c r="S463" s="19"/>
      <c r="T463" s="19"/>
      <c r="U463" s="19"/>
      <c r="V463" s="19"/>
      <c r="W463" s="19"/>
      <c r="X463" s="19"/>
      <c r="Y463" s="19"/>
      <c r="Z463" s="47" t="str">
        <f aca="false">IF(COUNT(U463:X463)=0,"",SUM(U463:X463))</f>
        <v/>
      </c>
      <c r="AA463" s="48" t="str">
        <f aca="false">IF(OR(Z463="",N(T463)=0),"",Z463/T463)</f>
        <v/>
      </c>
      <c r="AB463" s="45"/>
      <c r="AC463" s="51" t="str">
        <f aca="false">IF(A463="","",A463+N(C463)+ROW()/10^7)</f>
        <v/>
      </c>
      <c r="AD463" s="51" t="str">
        <f aca="false">IF(A463="","",TEXT(A463,"0")&amp;"|"&amp;COUNTIFS('Content Log'!$A$5:$A$504,A463,'Content Log'!$AC$5:$AC$504,"&lt;="&amp;AC463))</f>
        <v/>
      </c>
      <c r="AE463" s="51" t="str">
        <f aca="false">IF(A463="","",IFERROR(INDEX(Setup!$N$9:$N$14,MATCH(O463,Setup!$M$9:$M$14,0))&amp;" ","")&amp;IF(C463="","",TEXT(C463,"h:mm AM/PM")&amp;" ")&amp;D463&amp;IF(H463="",""," · "&amp;H463))</f>
        <v/>
      </c>
      <c r="AF463" s="51" t="str">
        <f aca="false">IF(OR(A463="",AA463=""),"",IF(AND(A463&gt;=Dashboard!$G$4,A463&lt;=Dashboard!$I$4),AA463+ROW()/10^9,""))</f>
        <v/>
      </c>
      <c r="AG463" s="51" t="str">
        <f aca="false">IF(A463="","",WEEKDAY(A463,2))</f>
        <v/>
      </c>
    </row>
    <row r="464" customFormat="false" ht="15" hidden="false" customHeight="false" outlineLevel="0" collapsed="false">
      <c r="A464" s="43"/>
      <c r="B464" s="11" t="str">
        <f aca="false">IF(A464="","",TEXT(A464,"ddd"))</f>
        <v/>
      </c>
      <c r="C464" s="44"/>
      <c r="D464" s="16"/>
      <c r="E464" s="16"/>
      <c r="F464" s="16"/>
      <c r="G464" s="16"/>
      <c r="H464" s="45"/>
      <c r="I464" s="45"/>
      <c r="J464" s="11" t="str">
        <f aca="false">IF(I464="","",LEN(I464))</f>
        <v/>
      </c>
      <c r="K464" s="16"/>
      <c r="L464" s="16"/>
      <c r="M464" s="11" t="str">
        <f aca="false">IF(L464="","",IFERROR(INDEX('Hashtag Bank'!$E$5:$E$104,MATCH(L464,'Hashtag Bank'!$B$5:$B$104,0)),""))</f>
        <v/>
      </c>
      <c r="N464" s="16"/>
      <c r="O464" s="16"/>
      <c r="P464" s="16"/>
      <c r="Q464" s="46" t="str">
        <f aca="true">IF(A464&amp;H464="","",TRIM(IF(AND(A464&lt;&gt;"",A464&lt;TODAY(),O464&lt;&gt;"Published",O464&lt;&gt;"Repurpose"),"⚠ Overdue ","")&amp;IF(AND(J464&lt;&gt;"",D464&lt;&gt;"",IFERROR(J464&gt;INDEX(Setup!$E$9:$E$18,MATCH(D464,Setup!$B$9:$B$18,0)),FALSE())),"✂ Caption too long ","")&amp;IF(AND(M464&lt;&gt;"",D464&lt;&gt;"",IFERROR(M464&gt;INDEX(Setup!$F$9:$F$18,MATCH(D464,Setup!$B$9:$B$18,0)),FALSE())),"# Too many tags","")))</f>
        <v/>
      </c>
      <c r="R464" s="16"/>
      <c r="S464" s="19"/>
      <c r="T464" s="19"/>
      <c r="U464" s="19"/>
      <c r="V464" s="19"/>
      <c r="W464" s="19"/>
      <c r="X464" s="19"/>
      <c r="Y464" s="19"/>
      <c r="Z464" s="47" t="str">
        <f aca="false">IF(COUNT(U464:X464)=0,"",SUM(U464:X464))</f>
        <v/>
      </c>
      <c r="AA464" s="48" t="str">
        <f aca="false">IF(OR(Z464="",N(T464)=0),"",Z464/T464)</f>
        <v/>
      </c>
      <c r="AB464" s="45"/>
      <c r="AC464" s="51" t="str">
        <f aca="false">IF(A464="","",A464+N(C464)+ROW()/10^7)</f>
        <v/>
      </c>
      <c r="AD464" s="51" t="str">
        <f aca="false">IF(A464="","",TEXT(A464,"0")&amp;"|"&amp;COUNTIFS('Content Log'!$A$5:$A$504,A464,'Content Log'!$AC$5:$AC$504,"&lt;="&amp;AC464))</f>
        <v/>
      </c>
      <c r="AE464" s="51" t="str">
        <f aca="false">IF(A464="","",IFERROR(INDEX(Setup!$N$9:$N$14,MATCH(O464,Setup!$M$9:$M$14,0))&amp;" ","")&amp;IF(C464="","",TEXT(C464,"h:mm AM/PM")&amp;" ")&amp;D464&amp;IF(H464="",""," · "&amp;H464))</f>
        <v/>
      </c>
      <c r="AF464" s="51" t="str">
        <f aca="false">IF(OR(A464="",AA464=""),"",IF(AND(A464&gt;=Dashboard!$G$4,A464&lt;=Dashboard!$I$4),AA464+ROW()/10^9,""))</f>
        <v/>
      </c>
      <c r="AG464" s="51" t="str">
        <f aca="false">IF(A464="","",WEEKDAY(A464,2))</f>
        <v/>
      </c>
    </row>
    <row r="465" customFormat="false" ht="15" hidden="false" customHeight="false" outlineLevel="0" collapsed="false">
      <c r="A465" s="43"/>
      <c r="B465" s="11" t="str">
        <f aca="false">IF(A465="","",TEXT(A465,"ddd"))</f>
        <v/>
      </c>
      <c r="C465" s="44"/>
      <c r="D465" s="16"/>
      <c r="E465" s="16"/>
      <c r="F465" s="16"/>
      <c r="G465" s="16"/>
      <c r="H465" s="45"/>
      <c r="I465" s="45"/>
      <c r="J465" s="11" t="str">
        <f aca="false">IF(I465="","",LEN(I465))</f>
        <v/>
      </c>
      <c r="K465" s="16"/>
      <c r="L465" s="16"/>
      <c r="M465" s="11" t="str">
        <f aca="false">IF(L465="","",IFERROR(INDEX('Hashtag Bank'!$E$5:$E$104,MATCH(L465,'Hashtag Bank'!$B$5:$B$104,0)),""))</f>
        <v/>
      </c>
      <c r="N465" s="16"/>
      <c r="O465" s="16"/>
      <c r="P465" s="16"/>
      <c r="Q465" s="46" t="str">
        <f aca="true">IF(A465&amp;H465="","",TRIM(IF(AND(A465&lt;&gt;"",A465&lt;TODAY(),O465&lt;&gt;"Published",O465&lt;&gt;"Repurpose"),"⚠ Overdue ","")&amp;IF(AND(J465&lt;&gt;"",D465&lt;&gt;"",IFERROR(J465&gt;INDEX(Setup!$E$9:$E$18,MATCH(D465,Setup!$B$9:$B$18,0)),FALSE())),"✂ Caption too long ","")&amp;IF(AND(M465&lt;&gt;"",D465&lt;&gt;"",IFERROR(M465&gt;INDEX(Setup!$F$9:$F$18,MATCH(D465,Setup!$B$9:$B$18,0)),FALSE())),"# Too many tags","")))</f>
        <v/>
      </c>
      <c r="R465" s="16"/>
      <c r="S465" s="19"/>
      <c r="T465" s="19"/>
      <c r="U465" s="19"/>
      <c r="V465" s="19"/>
      <c r="W465" s="19"/>
      <c r="X465" s="19"/>
      <c r="Y465" s="19"/>
      <c r="Z465" s="47" t="str">
        <f aca="false">IF(COUNT(U465:X465)=0,"",SUM(U465:X465))</f>
        <v/>
      </c>
      <c r="AA465" s="48" t="str">
        <f aca="false">IF(OR(Z465="",N(T465)=0),"",Z465/T465)</f>
        <v/>
      </c>
      <c r="AB465" s="45"/>
      <c r="AC465" s="51" t="str">
        <f aca="false">IF(A465="","",A465+N(C465)+ROW()/10^7)</f>
        <v/>
      </c>
      <c r="AD465" s="51" t="str">
        <f aca="false">IF(A465="","",TEXT(A465,"0")&amp;"|"&amp;COUNTIFS('Content Log'!$A$5:$A$504,A465,'Content Log'!$AC$5:$AC$504,"&lt;="&amp;AC465))</f>
        <v/>
      </c>
      <c r="AE465" s="51" t="str">
        <f aca="false">IF(A465="","",IFERROR(INDEX(Setup!$N$9:$N$14,MATCH(O465,Setup!$M$9:$M$14,0))&amp;" ","")&amp;IF(C465="","",TEXT(C465,"h:mm AM/PM")&amp;" ")&amp;D465&amp;IF(H465="",""," · "&amp;H465))</f>
        <v/>
      </c>
      <c r="AF465" s="51" t="str">
        <f aca="false">IF(OR(A465="",AA465=""),"",IF(AND(A465&gt;=Dashboard!$G$4,A465&lt;=Dashboard!$I$4),AA465+ROW()/10^9,""))</f>
        <v/>
      </c>
      <c r="AG465" s="51" t="str">
        <f aca="false">IF(A465="","",WEEKDAY(A465,2))</f>
        <v/>
      </c>
    </row>
    <row r="466" customFormat="false" ht="15" hidden="false" customHeight="false" outlineLevel="0" collapsed="false">
      <c r="A466" s="43"/>
      <c r="B466" s="11" t="str">
        <f aca="false">IF(A466="","",TEXT(A466,"ddd"))</f>
        <v/>
      </c>
      <c r="C466" s="44"/>
      <c r="D466" s="16"/>
      <c r="E466" s="16"/>
      <c r="F466" s="16"/>
      <c r="G466" s="16"/>
      <c r="H466" s="45"/>
      <c r="I466" s="45"/>
      <c r="J466" s="11" t="str">
        <f aca="false">IF(I466="","",LEN(I466))</f>
        <v/>
      </c>
      <c r="K466" s="16"/>
      <c r="L466" s="16"/>
      <c r="M466" s="11" t="str">
        <f aca="false">IF(L466="","",IFERROR(INDEX('Hashtag Bank'!$E$5:$E$104,MATCH(L466,'Hashtag Bank'!$B$5:$B$104,0)),""))</f>
        <v/>
      </c>
      <c r="N466" s="16"/>
      <c r="O466" s="16"/>
      <c r="P466" s="16"/>
      <c r="Q466" s="46" t="str">
        <f aca="true">IF(A466&amp;H466="","",TRIM(IF(AND(A466&lt;&gt;"",A466&lt;TODAY(),O466&lt;&gt;"Published",O466&lt;&gt;"Repurpose"),"⚠ Overdue ","")&amp;IF(AND(J466&lt;&gt;"",D466&lt;&gt;"",IFERROR(J466&gt;INDEX(Setup!$E$9:$E$18,MATCH(D466,Setup!$B$9:$B$18,0)),FALSE())),"✂ Caption too long ","")&amp;IF(AND(M466&lt;&gt;"",D466&lt;&gt;"",IFERROR(M466&gt;INDEX(Setup!$F$9:$F$18,MATCH(D466,Setup!$B$9:$B$18,0)),FALSE())),"# Too many tags","")))</f>
        <v/>
      </c>
      <c r="R466" s="16"/>
      <c r="S466" s="19"/>
      <c r="T466" s="19"/>
      <c r="U466" s="19"/>
      <c r="V466" s="19"/>
      <c r="W466" s="19"/>
      <c r="X466" s="19"/>
      <c r="Y466" s="19"/>
      <c r="Z466" s="47" t="str">
        <f aca="false">IF(COUNT(U466:X466)=0,"",SUM(U466:X466))</f>
        <v/>
      </c>
      <c r="AA466" s="48" t="str">
        <f aca="false">IF(OR(Z466="",N(T466)=0),"",Z466/T466)</f>
        <v/>
      </c>
      <c r="AB466" s="45"/>
      <c r="AC466" s="51" t="str">
        <f aca="false">IF(A466="","",A466+N(C466)+ROW()/10^7)</f>
        <v/>
      </c>
      <c r="AD466" s="51" t="str">
        <f aca="false">IF(A466="","",TEXT(A466,"0")&amp;"|"&amp;COUNTIFS('Content Log'!$A$5:$A$504,A466,'Content Log'!$AC$5:$AC$504,"&lt;="&amp;AC466))</f>
        <v/>
      </c>
      <c r="AE466" s="51" t="str">
        <f aca="false">IF(A466="","",IFERROR(INDEX(Setup!$N$9:$N$14,MATCH(O466,Setup!$M$9:$M$14,0))&amp;" ","")&amp;IF(C466="","",TEXT(C466,"h:mm AM/PM")&amp;" ")&amp;D466&amp;IF(H466="",""," · "&amp;H466))</f>
        <v/>
      </c>
      <c r="AF466" s="51" t="str">
        <f aca="false">IF(OR(A466="",AA466=""),"",IF(AND(A466&gt;=Dashboard!$G$4,A466&lt;=Dashboard!$I$4),AA466+ROW()/10^9,""))</f>
        <v/>
      </c>
      <c r="AG466" s="51" t="str">
        <f aca="false">IF(A466="","",WEEKDAY(A466,2))</f>
        <v/>
      </c>
    </row>
    <row r="467" customFormat="false" ht="15" hidden="false" customHeight="false" outlineLevel="0" collapsed="false">
      <c r="A467" s="43"/>
      <c r="B467" s="11" t="str">
        <f aca="false">IF(A467="","",TEXT(A467,"ddd"))</f>
        <v/>
      </c>
      <c r="C467" s="44"/>
      <c r="D467" s="16"/>
      <c r="E467" s="16"/>
      <c r="F467" s="16"/>
      <c r="G467" s="16"/>
      <c r="H467" s="45"/>
      <c r="I467" s="45"/>
      <c r="J467" s="11" t="str">
        <f aca="false">IF(I467="","",LEN(I467))</f>
        <v/>
      </c>
      <c r="K467" s="16"/>
      <c r="L467" s="16"/>
      <c r="M467" s="11" t="str">
        <f aca="false">IF(L467="","",IFERROR(INDEX('Hashtag Bank'!$E$5:$E$104,MATCH(L467,'Hashtag Bank'!$B$5:$B$104,0)),""))</f>
        <v/>
      </c>
      <c r="N467" s="16"/>
      <c r="O467" s="16"/>
      <c r="P467" s="16"/>
      <c r="Q467" s="46" t="str">
        <f aca="true">IF(A467&amp;H467="","",TRIM(IF(AND(A467&lt;&gt;"",A467&lt;TODAY(),O467&lt;&gt;"Published",O467&lt;&gt;"Repurpose"),"⚠ Overdue ","")&amp;IF(AND(J467&lt;&gt;"",D467&lt;&gt;"",IFERROR(J467&gt;INDEX(Setup!$E$9:$E$18,MATCH(D467,Setup!$B$9:$B$18,0)),FALSE())),"✂ Caption too long ","")&amp;IF(AND(M467&lt;&gt;"",D467&lt;&gt;"",IFERROR(M467&gt;INDEX(Setup!$F$9:$F$18,MATCH(D467,Setup!$B$9:$B$18,0)),FALSE())),"# Too many tags","")))</f>
        <v/>
      </c>
      <c r="R467" s="16"/>
      <c r="S467" s="19"/>
      <c r="T467" s="19"/>
      <c r="U467" s="19"/>
      <c r="V467" s="19"/>
      <c r="W467" s="19"/>
      <c r="X467" s="19"/>
      <c r="Y467" s="19"/>
      <c r="Z467" s="47" t="str">
        <f aca="false">IF(COUNT(U467:X467)=0,"",SUM(U467:X467))</f>
        <v/>
      </c>
      <c r="AA467" s="48" t="str">
        <f aca="false">IF(OR(Z467="",N(T467)=0),"",Z467/T467)</f>
        <v/>
      </c>
      <c r="AB467" s="45"/>
      <c r="AC467" s="51" t="str">
        <f aca="false">IF(A467="","",A467+N(C467)+ROW()/10^7)</f>
        <v/>
      </c>
      <c r="AD467" s="51" t="str">
        <f aca="false">IF(A467="","",TEXT(A467,"0")&amp;"|"&amp;COUNTIFS('Content Log'!$A$5:$A$504,A467,'Content Log'!$AC$5:$AC$504,"&lt;="&amp;AC467))</f>
        <v/>
      </c>
      <c r="AE467" s="51" t="str">
        <f aca="false">IF(A467="","",IFERROR(INDEX(Setup!$N$9:$N$14,MATCH(O467,Setup!$M$9:$M$14,0))&amp;" ","")&amp;IF(C467="","",TEXT(C467,"h:mm AM/PM")&amp;" ")&amp;D467&amp;IF(H467="",""," · "&amp;H467))</f>
        <v/>
      </c>
      <c r="AF467" s="51" t="str">
        <f aca="false">IF(OR(A467="",AA467=""),"",IF(AND(A467&gt;=Dashboard!$G$4,A467&lt;=Dashboard!$I$4),AA467+ROW()/10^9,""))</f>
        <v/>
      </c>
      <c r="AG467" s="51" t="str">
        <f aca="false">IF(A467="","",WEEKDAY(A467,2))</f>
        <v/>
      </c>
    </row>
    <row r="468" customFormat="false" ht="15" hidden="false" customHeight="false" outlineLevel="0" collapsed="false">
      <c r="A468" s="43"/>
      <c r="B468" s="11" t="str">
        <f aca="false">IF(A468="","",TEXT(A468,"ddd"))</f>
        <v/>
      </c>
      <c r="C468" s="44"/>
      <c r="D468" s="16"/>
      <c r="E468" s="16"/>
      <c r="F468" s="16"/>
      <c r="G468" s="16"/>
      <c r="H468" s="45"/>
      <c r="I468" s="45"/>
      <c r="J468" s="11" t="str">
        <f aca="false">IF(I468="","",LEN(I468))</f>
        <v/>
      </c>
      <c r="K468" s="16"/>
      <c r="L468" s="16"/>
      <c r="M468" s="11" t="str">
        <f aca="false">IF(L468="","",IFERROR(INDEX('Hashtag Bank'!$E$5:$E$104,MATCH(L468,'Hashtag Bank'!$B$5:$B$104,0)),""))</f>
        <v/>
      </c>
      <c r="N468" s="16"/>
      <c r="O468" s="16"/>
      <c r="P468" s="16"/>
      <c r="Q468" s="46" t="str">
        <f aca="true">IF(A468&amp;H468="","",TRIM(IF(AND(A468&lt;&gt;"",A468&lt;TODAY(),O468&lt;&gt;"Published",O468&lt;&gt;"Repurpose"),"⚠ Overdue ","")&amp;IF(AND(J468&lt;&gt;"",D468&lt;&gt;"",IFERROR(J468&gt;INDEX(Setup!$E$9:$E$18,MATCH(D468,Setup!$B$9:$B$18,0)),FALSE())),"✂ Caption too long ","")&amp;IF(AND(M468&lt;&gt;"",D468&lt;&gt;"",IFERROR(M468&gt;INDEX(Setup!$F$9:$F$18,MATCH(D468,Setup!$B$9:$B$18,0)),FALSE())),"# Too many tags","")))</f>
        <v/>
      </c>
      <c r="R468" s="16"/>
      <c r="S468" s="19"/>
      <c r="T468" s="19"/>
      <c r="U468" s="19"/>
      <c r="V468" s="19"/>
      <c r="W468" s="19"/>
      <c r="X468" s="19"/>
      <c r="Y468" s="19"/>
      <c r="Z468" s="47" t="str">
        <f aca="false">IF(COUNT(U468:X468)=0,"",SUM(U468:X468))</f>
        <v/>
      </c>
      <c r="AA468" s="48" t="str">
        <f aca="false">IF(OR(Z468="",N(T468)=0),"",Z468/T468)</f>
        <v/>
      </c>
      <c r="AB468" s="45"/>
      <c r="AC468" s="51" t="str">
        <f aca="false">IF(A468="","",A468+N(C468)+ROW()/10^7)</f>
        <v/>
      </c>
      <c r="AD468" s="51" t="str">
        <f aca="false">IF(A468="","",TEXT(A468,"0")&amp;"|"&amp;COUNTIFS('Content Log'!$A$5:$A$504,A468,'Content Log'!$AC$5:$AC$504,"&lt;="&amp;AC468))</f>
        <v/>
      </c>
      <c r="AE468" s="51" t="str">
        <f aca="false">IF(A468="","",IFERROR(INDEX(Setup!$N$9:$N$14,MATCH(O468,Setup!$M$9:$M$14,0))&amp;" ","")&amp;IF(C468="","",TEXT(C468,"h:mm AM/PM")&amp;" ")&amp;D468&amp;IF(H468="",""," · "&amp;H468))</f>
        <v/>
      </c>
      <c r="AF468" s="51" t="str">
        <f aca="false">IF(OR(A468="",AA468=""),"",IF(AND(A468&gt;=Dashboard!$G$4,A468&lt;=Dashboard!$I$4),AA468+ROW()/10^9,""))</f>
        <v/>
      </c>
      <c r="AG468" s="51" t="str">
        <f aca="false">IF(A468="","",WEEKDAY(A468,2))</f>
        <v/>
      </c>
    </row>
    <row r="469" customFormat="false" ht="15" hidden="false" customHeight="false" outlineLevel="0" collapsed="false">
      <c r="A469" s="43"/>
      <c r="B469" s="11" t="str">
        <f aca="false">IF(A469="","",TEXT(A469,"ddd"))</f>
        <v/>
      </c>
      <c r="C469" s="44"/>
      <c r="D469" s="16"/>
      <c r="E469" s="16"/>
      <c r="F469" s="16"/>
      <c r="G469" s="16"/>
      <c r="H469" s="45"/>
      <c r="I469" s="45"/>
      <c r="J469" s="11" t="str">
        <f aca="false">IF(I469="","",LEN(I469))</f>
        <v/>
      </c>
      <c r="K469" s="16"/>
      <c r="L469" s="16"/>
      <c r="M469" s="11" t="str">
        <f aca="false">IF(L469="","",IFERROR(INDEX('Hashtag Bank'!$E$5:$E$104,MATCH(L469,'Hashtag Bank'!$B$5:$B$104,0)),""))</f>
        <v/>
      </c>
      <c r="N469" s="16"/>
      <c r="O469" s="16"/>
      <c r="P469" s="16"/>
      <c r="Q469" s="46" t="str">
        <f aca="true">IF(A469&amp;H469="","",TRIM(IF(AND(A469&lt;&gt;"",A469&lt;TODAY(),O469&lt;&gt;"Published",O469&lt;&gt;"Repurpose"),"⚠ Overdue ","")&amp;IF(AND(J469&lt;&gt;"",D469&lt;&gt;"",IFERROR(J469&gt;INDEX(Setup!$E$9:$E$18,MATCH(D469,Setup!$B$9:$B$18,0)),FALSE())),"✂ Caption too long ","")&amp;IF(AND(M469&lt;&gt;"",D469&lt;&gt;"",IFERROR(M469&gt;INDEX(Setup!$F$9:$F$18,MATCH(D469,Setup!$B$9:$B$18,0)),FALSE())),"# Too many tags","")))</f>
        <v/>
      </c>
      <c r="R469" s="16"/>
      <c r="S469" s="19"/>
      <c r="T469" s="19"/>
      <c r="U469" s="19"/>
      <c r="V469" s="19"/>
      <c r="W469" s="19"/>
      <c r="X469" s="19"/>
      <c r="Y469" s="19"/>
      <c r="Z469" s="47" t="str">
        <f aca="false">IF(COUNT(U469:X469)=0,"",SUM(U469:X469))</f>
        <v/>
      </c>
      <c r="AA469" s="48" t="str">
        <f aca="false">IF(OR(Z469="",N(T469)=0),"",Z469/T469)</f>
        <v/>
      </c>
      <c r="AB469" s="45"/>
      <c r="AC469" s="51" t="str">
        <f aca="false">IF(A469="","",A469+N(C469)+ROW()/10^7)</f>
        <v/>
      </c>
      <c r="AD469" s="51" t="str">
        <f aca="false">IF(A469="","",TEXT(A469,"0")&amp;"|"&amp;COUNTIFS('Content Log'!$A$5:$A$504,A469,'Content Log'!$AC$5:$AC$504,"&lt;="&amp;AC469))</f>
        <v/>
      </c>
      <c r="AE469" s="51" t="str">
        <f aca="false">IF(A469="","",IFERROR(INDEX(Setup!$N$9:$N$14,MATCH(O469,Setup!$M$9:$M$14,0))&amp;" ","")&amp;IF(C469="","",TEXT(C469,"h:mm AM/PM")&amp;" ")&amp;D469&amp;IF(H469="",""," · "&amp;H469))</f>
        <v/>
      </c>
      <c r="AF469" s="51" t="str">
        <f aca="false">IF(OR(A469="",AA469=""),"",IF(AND(A469&gt;=Dashboard!$G$4,A469&lt;=Dashboard!$I$4),AA469+ROW()/10^9,""))</f>
        <v/>
      </c>
      <c r="AG469" s="51" t="str">
        <f aca="false">IF(A469="","",WEEKDAY(A469,2))</f>
        <v/>
      </c>
    </row>
    <row r="470" customFormat="false" ht="15" hidden="false" customHeight="false" outlineLevel="0" collapsed="false">
      <c r="A470" s="43"/>
      <c r="B470" s="11" t="str">
        <f aca="false">IF(A470="","",TEXT(A470,"ddd"))</f>
        <v/>
      </c>
      <c r="C470" s="44"/>
      <c r="D470" s="16"/>
      <c r="E470" s="16"/>
      <c r="F470" s="16"/>
      <c r="G470" s="16"/>
      <c r="H470" s="45"/>
      <c r="I470" s="45"/>
      <c r="J470" s="11" t="str">
        <f aca="false">IF(I470="","",LEN(I470))</f>
        <v/>
      </c>
      <c r="K470" s="16"/>
      <c r="L470" s="16"/>
      <c r="M470" s="11" t="str">
        <f aca="false">IF(L470="","",IFERROR(INDEX('Hashtag Bank'!$E$5:$E$104,MATCH(L470,'Hashtag Bank'!$B$5:$B$104,0)),""))</f>
        <v/>
      </c>
      <c r="N470" s="16"/>
      <c r="O470" s="16"/>
      <c r="P470" s="16"/>
      <c r="Q470" s="46" t="str">
        <f aca="true">IF(A470&amp;H470="","",TRIM(IF(AND(A470&lt;&gt;"",A470&lt;TODAY(),O470&lt;&gt;"Published",O470&lt;&gt;"Repurpose"),"⚠ Overdue ","")&amp;IF(AND(J470&lt;&gt;"",D470&lt;&gt;"",IFERROR(J470&gt;INDEX(Setup!$E$9:$E$18,MATCH(D470,Setup!$B$9:$B$18,0)),FALSE())),"✂ Caption too long ","")&amp;IF(AND(M470&lt;&gt;"",D470&lt;&gt;"",IFERROR(M470&gt;INDEX(Setup!$F$9:$F$18,MATCH(D470,Setup!$B$9:$B$18,0)),FALSE())),"# Too many tags","")))</f>
        <v/>
      </c>
      <c r="R470" s="16"/>
      <c r="S470" s="19"/>
      <c r="T470" s="19"/>
      <c r="U470" s="19"/>
      <c r="V470" s="19"/>
      <c r="W470" s="19"/>
      <c r="X470" s="19"/>
      <c r="Y470" s="19"/>
      <c r="Z470" s="47" t="str">
        <f aca="false">IF(COUNT(U470:X470)=0,"",SUM(U470:X470))</f>
        <v/>
      </c>
      <c r="AA470" s="48" t="str">
        <f aca="false">IF(OR(Z470="",N(T470)=0),"",Z470/T470)</f>
        <v/>
      </c>
      <c r="AB470" s="45"/>
      <c r="AC470" s="51" t="str">
        <f aca="false">IF(A470="","",A470+N(C470)+ROW()/10^7)</f>
        <v/>
      </c>
      <c r="AD470" s="51" t="str">
        <f aca="false">IF(A470="","",TEXT(A470,"0")&amp;"|"&amp;COUNTIFS('Content Log'!$A$5:$A$504,A470,'Content Log'!$AC$5:$AC$504,"&lt;="&amp;AC470))</f>
        <v/>
      </c>
      <c r="AE470" s="51" t="str">
        <f aca="false">IF(A470="","",IFERROR(INDEX(Setup!$N$9:$N$14,MATCH(O470,Setup!$M$9:$M$14,0))&amp;" ","")&amp;IF(C470="","",TEXT(C470,"h:mm AM/PM")&amp;" ")&amp;D470&amp;IF(H470="",""," · "&amp;H470))</f>
        <v/>
      </c>
      <c r="AF470" s="51" t="str">
        <f aca="false">IF(OR(A470="",AA470=""),"",IF(AND(A470&gt;=Dashboard!$G$4,A470&lt;=Dashboard!$I$4),AA470+ROW()/10^9,""))</f>
        <v/>
      </c>
      <c r="AG470" s="51" t="str">
        <f aca="false">IF(A470="","",WEEKDAY(A470,2))</f>
        <v/>
      </c>
    </row>
    <row r="471" customFormat="false" ht="15" hidden="false" customHeight="false" outlineLevel="0" collapsed="false">
      <c r="A471" s="43"/>
      <c r="B471" s="11" t="str">
        <f aca="false">IF(A471="","",TEXT(A471,"ddd"))</f>
        <v/>
      </c>
      <c r="C471" s="44"/>
      <c r="D471" s="16"/>
      <c r="E471" s="16"/>
      <c r="F471" s="16"/>
      <c r="G471" s="16"/>
      <c r="H471" s="45"/>
      <c r="I471" s="45"/>
      <c r="J471" s="11" t="str">
        <f aca="false">IF(I471="","",LEN(I471))</f>
        <v/>
      </c>
      <c r="K471" s="16"/>
      <c r="L471" s="16"/>
      <c r="M471" s="11" t="str">
        <f aca="false">IF(L471="","",IFERROR(INDEX('Hashtag Bank'!$E$5:$E$104,MATCH(L471,'Hashtag Bank'!$B$5:$B$104,0)),""))</f>
        <v/>
      </c>
      <c r="N471" s="16"/>
      <c r="O471" s="16"/>
      <c r="P471" s="16"/>
      <c r="Q471" s="46" t="str">
        <f aca="true">IF(A471&amp;H471="","",TRIM(IF(AND(A471&lt;&gt;"",A471&lt;TODAY(),O471&lt;&gt;"Published",O471&lt;&gt;"Repurpose"),"⚠ Overdue ","")&amp;IF(AND(J471&lt;&gt;"",D471&lt;&gt;"",IFERROR(J471&gt;INDEX(Setup!$E$9:$E$18,MATCH(D471,Setup!$B$9:$B$18,0)),FALSE())),"✂ Caption too long ","")&amp;IF(AND(M471&lt;&gt;"",D471&lt;&gt;"",IFERROR(M471&gt;INDEX(Setup!$F$9:$F$18,MATCH(D471,Setup!$B$9:$B$18,0)),FALSE())),"# Too many tags","")))</f>
        <v/>
      </c>
      <c r="R471" s="16"/>
      <c r="S471" s="19"/>
      <c r="T471" s="19"/>
      <c r="U471" s="19"/>
      <c r="V471" s="19"/>
      <c r="W471" s="19"/>
      <c r="X471" s="19"/>
      <c r="Y471" s="19"/>
      <c r="Z471" s="47" t="str">
        <f aca="false">IF(COUNT(U471:X471)=0,"",SUM(U471:X471))</f>
        <v/>
      </c>
      <c r="AA471" s="48" t="str">
        <f aca="false">IF(OR(Z471="",N(T471)=0),"",Z471/T471)</f>
        <v/>
      </c>
      <c r="AB471" s="45"/>
      <c r="AC471" s="51" t="str">
        <f aca="false">IF(A471="","",A471+N(C471)+ROW()/10^7)</f>
        <v/>
      </c>
      <c r="AD471" s="51" t="str">
        <f aca="false">IF(A471="","",TEXT(A471,"0")&amp;"|"&amp;COUNTIFS('Content Log'!$A$5:$A$504,A471,'Content Log'!$AC$5:$AC$504,"&lt;="&amp;AC471))</f>
        <v/>
      </c>
      <c r="AE471" s="51" t="str">
        <f aca="false">IF(A471="","",IFERROR(INDEX(Setup!$N$9:$N$14,MATCH(O471,Setup!$M$9:$M$14,0))&amp;" ","")&amp;IF(C471="","",TEXT(C471,"h:mm AM/PM")&amp;" ")&amp;D471&amp;IF(H471="",""," · "&amp;H471))</f>
        <v/>
      </c>
      <c r="AF471" s="51" t="str">
        <f aca="false">IF(OR(A471="",AA471=""),"",IF(AND(A471&gt;=Dashboard!$G$4,A471&lt;=Dashboard!$I$4),AA471+ROW()/10^9,""))</f>
        <v/>
      </c>
      <c r="AG471" s="51" t="str">
        <f aca="false">IF(A471="","",WEEKDAY(A471,2))</f>
        <v/>
      </c>
    </row>
    <row r="472" customFormat="false" ht="15" hidden="false" customHeight="false" outlineLevel="0" collapsed="false">
      <c r="A472" s="43"/>
      <c r="B472" s="11" t="str">
        <f aca="false">IF(A472="","",TEXT(A472,"ddd"))</f>
        <v/>
      </c>
      <c r="C472" s="44"/>
      <c r="D472" s="16"/>
      <c r="E472" s="16"/>
      <c r="F472" s="16"/>
      <c r="G472" s="16"/>
      <c r="H472" s="45"/>
      <c r="I472" s="45"/>
      <c r="J472" s="11" t="str">
        <f aca="false">IF(I472="","",LEN(I472))</f>
        <v/>
      </c>
      <c r="K472" s="16"/>
      <c r="L472" s="16"/>
      <c r="M472" s="11" t="str">
        <f aca="false">IF(L472="","",IFERROR(INDEX('Hashtag Bank'!$E$5:$E$104,MATCH(L472,'Hashtag Bank'!$B$5:$B$104,0)),""))</f>
        <v/>
      </c>
      <c r="N472" s="16"/>
      <c r="O472" s="16"/>
      <c r="P472" s="16"/>
      <c r="Q472" s="46" t="str">
        <f aca="true">IF(A472&amp;H472="","",TRIM(IF(AND(A472&lt;&gt;"",A472&lt;TODAY(),O472&lt;&gt;"Published",O472&lt;&gt;"Repurpose"),"⚠ Overdue ","")&amp;IF(AND(J472&lt;&gt;"",D472&lt;&gt;"",IFERROR(J472&gt;INDEX(Setup!$E$9:$E$18,MATCH(D472,Setup!$B$9:$B$18,0)),FALSE())),"✂ Caption too long ","")&amp;IF(AND(M472&lt;&gt;"",D472&lt;&gt;"",IFERROR(M472&gt;INDEX(Setup!$F$9:$F$18,MATCH(D472,Setup!$B$9:$B$18,0)),FALSE())),"# Too many tags","")))</f>
        <v/>
      </c>
      <c r="R472" s="16"/>
      <c r="S472" s="19"/>
      <c r="T472" s="19"/>
      <c r="U472" s="19"/>
      <c r="V472" s="19"/>
      <c r="W472" s="19"/>
      <c r="X472" s="19"/>
      <c r="Y472" s="19"/>
      <c r="Z472" s="47" t="str">
        <f aca="false">IF(COUNT(U472:X472)=0,"",SUM(U472:X472))</f>
        <v/>
      </c>
      <c r="AA472" s="48" t="str">
        <f aca="false">IF(OR(Z472="",N(T472)=0),"",Z472/T472)</f>
        <v/>
      </c>
      <c r="AB472" s="45"/>
      <c r="AC472" s="51" t="str">
        <f aca="false">IF(A472="","",A472+N(C472)+ROW()/10^7)</f>
        <v/>
      </c>
      <c r="AD472" s="51" t="str">
        <f aca="false">IF(A472="","",TEXT(A472,"0")&amp;"|"&amp;COUNTIFS('Content Log'!$A$5:$A$504,A472,'Content Log'!$AC$5:$AC$504,"&lt;="&amp;AC472))</f>
        <v/>
      </c>
      <c r="AE472" s="51" t="str">
        <f aca="false">IF(A472="","",IFERROR(INDEX(Setup!$N$9:$N$14,MATCH(O472,Setup!$M$9:$M$14,0))&amp;" ","")&amp;IF(C472="","",TEXT(C472,"h:mm AM/PM")&amp;" ")&amp;D472&amp;IF(H472="",""," · "&amp;H472))</f>
        <v/>
      </c>
      <c r="AF472" s="51" t="str">
        <f aca="false">IF(OR(A472="",AA472=""),"",IF(AND(A472&gt;=Dashboard!$G$4,A472&lt;=Dashboard!$I$4),AA472+ROW()/10^9,""))</f>
        <v/>
      </c>
      <c r="AG472" s="51" t="str">
        <f aca="false">IF(A472="","",WEEKDAY(A472,2))</f>
        <v/>
      </c>
    </row>
    <row r="473" customFormat="false" ht="15" hidden="false" customHeight="false" outlineLevel="0" collapsed="false">
      <c r="A473" s="43"/>
      <c r="B473" s="11" t="str">
        <f aca="false">IF(A473="","",TEXT(A473,"ddd"))</f>
        <v/>
      </c>
      <c r="C473" s="44"/>
      <c r="D473" s="16"/>
      <c r="E473" s="16"/>
      <c r="F473" s="16"/>
      <c r="G473" s="16"/>
      <c r="H473" s="45"/>
      <c r="I473" s="45"/>
      <c r="J473" s="11" t="str">
        <f aca="false">IF(I473="","",LEN(I473))</f>
        <v/>
      </c>
      <c r="K473" s="16"/>
      <c r="L473" s="16"/>
      <c r="M473" s="11" t="str">
        <f aca="false">IF(L473="","",IFERROR(INDEX('Hashtag Bank'!$E$5:$E$104,MATCH(L473,'Hashtag Bank'!$B$5:$B$104,0)),""))</f>
        <v/>
      </c>
      <c r="N473" s="16"/>
      <c r="O473" s="16"/>
      <c r="P473" s="16"/>
      <c r="Q473" s="46" t="str">
        <f aca="true">IF(A473&amp;H473="","",TRIM(IF(AND(A473&lt;&gt;"",A473&lt;TODAY(),O473&lt;&gt;"Published",O473&lt;&gt;"Repurpose"),"⚠ Overdue ","")&amp;IF(AND(J473&lt;&gt;"",D473&lt;&gt;"",IFERROR(J473&gt;INDEX(Setup!$E$9:$E$18,MATCH(D473,Setup!$B$9:$B$18,0)),FALSE())),"✂ Caption too long ","")&amp;IF(AND(M473&lt;&gt;"",D473&lt;&gt;"",IFERROR(M473&gt;INDEX(Setup!$F$9:$F$18,MATCH(D473,Setup!$B$9:$B$18,0)),FALSE())),"# Too many tags","")))</f>
        <v/>
      </c>
      <c r="R473" s="16"/>
      <c r="S473" s="19"/>
      <c r="T473" s="19"/>
      <c r="U473" s="19"/>
      <c r="V473" s="19"/>
      <c r="W473" s="19"/>
      <c r="X473" s="19"/>
      <c r="Y473" s="19"/>
      <c r="Z473" s="47" t="str">
        <f aca="false">IF(COUNT(U473:X473)=0,"",SUM(U473:X473))</f>
        <v/>
      </c>
      <c r="AA473" s="48" t="str">
        <f aca="false">IF(OR(Z473="",N(T473)=0),"",Z473/T473)</f>
        <v/>
      </c>
      <c r="AB473" s="45"/>
      <c r="AC473" s="51" t="str">
        <f aca="false">IF(A473="","",A473+N(C473)+ROW()/10^7)</f>
        <v/>
      </c>
      <c r="AD473" s="51" t="str">
        <f aca="false">IF(A473="","",TEXT(A473,"0")&amp;"|"&amp;COUNTIFS('Content Log'!$A$5:$A$504,A473,'Content Log'!$AC$5:$AC$504,"&lt;="&amp;AC473))</f>
        <v/>
      </c>
      <c r="AE473" s="51" t="str">
        <f aca="false">IF(A473="","",IFERROR(INDEX(Setup!$N$9:$N$14,MATCH(O473,Setup!$M$9:$M$14,0))&amp;" ","")&amp;IF(C473="","",TEXT(C473,"h:mm AM/PM")&amp;" ")&amp;D473&amp;IF(H473="",""," · "&amp;H473))</f>
        <v/>
      </c>
      <c r="AF473" s="51" t="str">
        <f aca="false">IF(OR(A473="",AA473=""),"",IF(AND(A473&gt;=Dashboard!$G$4,A473&lt;=Dashboard!$I$4),AA473+ROW()/10^9,""))</f>
        <v/>
      </c>
      <c r="AG473" s="51" t="str">
        <f aca="false">IF(A473="","",WEEKDAY(A473,2))</f>
        <v/>
      </c>
    </row>
    <row r="474" customFormat="false" ht="15" hidden="false" customHeight="false" outlineLevel="0" collapsed="false">
      <c r="A474" s="43"/>
      <c r="B474" s="11" t="str">
        <f aca="false">IF(A474="","",TEXT(A474,"ddd"))</f>
        <v/>
      </c>
      <c r="C474" s="44"/>
      <c r="D474" s="16"/>
      <c r="E474" s="16"/>
      <c r="F474" s="16"/>
      <c r="G474" s="16"/>
      <c r="H474" s="45"/>
      <c r="I474" s="45"/>
      <c r="J474" s="11" t="str">
        <f aca="false">IF(I474="","",LEN(I474))</f>
        <v/>
      </c>
      <c r="K474" s="16"/>
      <c r="L474" s="16"/>
      <c r="M474" s="11" t="str">
        <f aca="false">IF(L474="","",IFERROR(INDEX('Hashtag Bank'!$E$5:$E$104,MATCH(L474,'Hashtag Bank'!$B$5:$B$104,0)),""))</f>
        <v/>
      </c>
      <c r="N474" s="16"/>
      <c r="O474" s="16"/>
      <c r="P474" s="16"/>
      <c r="Q474" s="46" t="str">
        <f aca="true">IF(A474&amp;H474="","",TRIM(IF(AND(A474&lt;&gt;"",A474&lt;TODAY(),O474&lt;&gt;"Published",O474&lt;&gt;"Repurpose"),"⚠ Overdue ","")&amp;IF(AND(J474&lt;&gt;"",D474&lt;&gt;"",IFERROR(J474&gt;INDEX(Setup!$E$9:$E$18,MATCH(D474,Setup!$B$9:$B$18,0)),FALSE())),"✂ Caption too long ","")&amp;IF(AND(M474&lt;&gt;"",D474&lt;&gt;"",IFERROR(M474&gt;INDEX(Setup!$F$9:$F$18,MATCH(D474,Setup!$B$9:$B$18,0)),FALSE())),"# Too many tags","")))</f>
        <v/>
      </c>
      <c r="R474" s="16"/>
      <c r="S474" s="19"/>
      <c r="T474" s="19"/>
      <c r="U474" s="19"/>
      <c r="V474" s="19"/>
      <c r="W474" s="19"/>
      <c r="X474" s="19"/>
      <c r="Y474" s="19"/>
      <c r="Z474" s="47" t="str">
        <f aca="false">IF(COUNT(U474:X474)=0,"",SUM(U474:X474))</f>
        <v/>
      </c>
      <c r="AA474" s="48" t="str">
        <f aca="false">IF(OR(Z474="",N(T474)=0),"",Z474/T474)</f>
        <v/>
      </c>
      <c r="AB474" s="45"/>
      <c r="AC474" s="51" t="str">
        <f aca="false">IF(A474="","",A474+N(C474)+ROW()/10^7)</f>
        <v/>
      </c>
      <c r="AD474" s="51" t="str">
        <f aca="false">IF(A474="","",TEXT(A474,"0")&amp;"|"&amp;COUNTIFS('Content Log'!$A$5:$A$504,A474,'Content Log'!$AC$5:$AC$504,"&lt;="&amp;AC474))</f>
        <v/>
      </c>
      <c r="AE474" s="51" t="str">
        <f aca="false">IF(A474="","",IFERROR(INDEX(Setup!$N$9:$N$14,MATCH(O474,Setup!$M$9:$M$14,0))&amp;" ","")&amp;IF(C474="","",TEXT(C474,"h:mm AM/PM")&amp;" ")&amp;D474&amp;IF(H474="",""," · "&amp;H474))</f>
        <v/>
      </c>
      <c r="AF474" s="51" t="str">
        <f aca="false">IF(OR(A474="",AA474=""),"",IF(AND(A474&gt;=Dashboard!$G$4,A474&lt;=Dashboard!$I$4),AA474+ROW()/10^9,""))</f>
        <v/>
      </c>
      <c r="AG474" s="51" t="str">
        <f aca="false">IF(A474="","",WEEKDAY(A474,2))</f>
        <v/>
      </c>
    </row>
    <row r="475" customFormat="false" ht="15" hidden="false" customHeight="false" outlineLevel="0" collapsed="false">
      <c r="A475" s="43"/>
      <c r="B475" s="11" t="str">
        <f aca="false">IF(A475="","",TEXT(A475,"ddd"))</f>
        <v/>
      </c>
      <c r="C475" s="44"/>
      <c r="D475" s="16"/>
      <c r="E475" s="16"/>
      <c r="F475" s="16"/>
      <c r="G475" s="16"/>
      <c r="H475" s="45"/>
      <c r="I475" s="45"/>
      <c r="J475" s="11" t="str">
        <f aca="false">IF(I475="","",LEN(I475))</f>
        <v/>
      </c>
      <c r="K475" s="16"/>
      <c r="L475" s="16"/>
      <c r="M475" s="11" t="str">
        <f aca="false">IF(L475="","",IFERROR(INDEX('Hashtag Bank'!$E$5:$E$104,MATCH(L475,'Hashtag Bank'!$B$5:$B$104,0)),""))</f>
        <v/>
      </c>
      <c r="N475" s="16"/>
      <c r="O475" s="16"/>
      <c r="P475" s="16"/>
      <c r="Q475" s="46" t="str">
        <f aca="true">IF(A475&amp;H475="","",TRIM(IF(AND(A475&lt;&gt;"",A475&lt;TODAY(),O475&lt;&gt;"Published",O475&lt;&gt;"Repurpose"),"⚠ Overdue ","")&amp;IF(AND(J475&lt;&gt;"",D475&lt;&gt;"",IFERROR(J475&gt;INDEX(Setup!$E$9:$E$18,MATCH(D475,Setup!$B$9:$B$18,0)),FALSE())),"✂ Caption too long ","")&amp;IF(AND(M475&lt;&gt;"",D475&lt;&gt;"",IFERROR(M475&gt;INDEX(Setup!$F$9:$F$18,MATCH(D475,Setup!$B$9:$B$18,0)),FALSE())),"# Too many tags","")))</f>
        <v/>
      </c>
      <c r="R475" s="16"/>
      <c r="S475" s="19"/>
      <c r="T475" s="19"/>
      <c r="U475" s="19"/>
      <c r="V475" s="19"/>
      <c r="W475" s="19"/>
      <c r="X475" s="19"/>
      <c r="Y475" s="19"/>
      <c r="Z475" s="47" t="str">
        <f aca="false">IF(COUNT(U475:X475)=0,"",SUM(U475:X475))</f>
        <v/>
      </c>
      <c r="AA475" s="48" t="str">
        <f aca="false">IF(OR(Z475="",N(T475)=0),"",Z475/T475)</f>
        <v/>
      </c>
      <c r="AB475" s="45"/>
      <c r="AC475" s="51" t="str">
        <f aca="false">IF(A475="","",A475+N(C475)+ROW()/10^7)</f>
        <v/>
      </c>
      <c r="AD475" s="51" t="str">
        <f aca="false">IF(A475="","",TEXT(A475,"0")&amp;"|"&amp;COUNTIFS('Content Log'!$A$5:$A$504,A475,'Content Log'!$AC$5:$AC$504,"&lt;="&amp;AC475))</f>
        <v/>
      </c>
      <c r="AE475" s="51" t="str">
        <f aca="false">IF(A475="","",IFERROR(INDEX(Setup!$N$9:$N$14,MATCH(O475,Setup!$M$9:$M$14,0))&amp;" ","")&amp;IF(C475="","",TEXT(C475,"h:mm AM/PM")&amp;" ")&amp;D475&amp;IF(H475="",""," · "&amp;H475))</f>
        <v/>
      </c>
      <c r="AF475" s="51" t="str">
        <f aca="false">IF(OR(A475="",AA475=""),"",IF(AND(A475&gt;=Dashboard!$G$4,A475&lt;=Dashboard!$I$4),AA475+ROW()/10^9,""))</f>
        <v/>
      </c>
      <c r="AG475" s="51" t="str">
        <f aca="false">IF(A475="","",WEEKDAY(A475,2))</f>
        <v/>
      </c>
    </row>
    <row r="476" customFormat="false" ht="15" hidden="false" customHeight="false" outlineLevel="0" collapsed="false">
      <c r="A476" s="43"/>
      <c r="B476" s="11" t="str">
        <f aca="false">IF(A476="","",TEXT(A476,"ddd"))</f>
        <v/>
      </c>
      <c r="C476" s="44"/>
      <c r="D476" s="16"/>
      <c r="E476" s="16"/>
      <c r="F476" s="16"/>
      <c r="G476" s="16"/>
      <c r="H476" s="45"/>
      <c r="I476" s="45"/>
      <c r="J476" s="11" t="str">
        <f aca="false">IF(I476="","",LEN(I476))</f>
        <v/>
      </c>
      <c r="K476" s="16"/>
      <c r="L476" s="16"/>
      <c r="M476" s="11" t="str">
        <f aca="false">IF(L476="","",IFERROR(INDEX('Hashtag Bank'!$E$5:$E$104,MATCH(L476,'Hashtag Bank'!$B$5:$B$104,0)),""))</f>
        <v/>
      </c>
      <c r="N476" s="16"/>
      <c r="O476" s="16"/>
      <c r="P476" s="16"/>
      <c r="Q476" s="46" t="str">
        <f aca="true">IF(A476&amp;H476="","",TRIM(IF(AND(A476&lt;&gt;"",A476&lt;TODAY(),O476&lt;&gt;"Published",O476&lt;&gt;"Repurpose"),"⚠ Overdue ","")&amp;IF(AND(J476&lt;&gt;"",D476&lt;&gt;"",IFERROR(J476&gt;INDEX(Setup!$E$9:$E$18,MATCH(D476,Setup!$B$9:$B$18,0)),FALSE())),"✂ Caption too long ","")&amp;IF(AND(M476&lt;&gt;"",D476&lt;&gt;"",IFERROR(M476&gt;INDEX(Setup!$F$9:$F$18,MATCH(D476,Setup!$B$9:$B$18,0)),FALSE())),"# Too many tags","")))</f>
        <v/>
      </c>
      <c r="R476" s="16"/>
      <c r="S476" s="19"/>
      <c r="T476" s="19"/>
      <c r="U476" s="19"/>
      <c r="V476" s="19"/>
      <c r="W476" s="19"/>
      <c r="X476" s="19"/>
      <c r="Y476" s="19"/>
      <c r="Z476" s="47" t="str">
        <f aca="false">IF(COUNT(U476:X476)=0,"",SUM(U476:X476))</f>
        <v/>
      </c>
      <c r="AA476" s="48" t="str">
        <f aca="false">IF(OR(Z476="",N(T476)=0),"",Z476/T476)</f>
        <v/>
      </c>
      <c r="AB476" s="45"/>
      <c r="AC476" s="51" t="str">
        <f aca="false">IF(A476="","",A476+N(C476)+ROW()/10^7)</f>
        <v/>
      </c>
      <c r="AD476" s="51" t="str">
        <f aca="false">IF(A476="","",TEXT(A476,"0")&amp;"|"&amp;COUNTIFS('Content Log'!$A$5:$A$504,A476,'Content Log'!$AC$5:$AC$504,"&lt;="&amp;AC476))</f>
        <v/>
      </c>
      <c r="AE476" s="51" t="str">
        <f aca="false">IF(A476="","",IFERROR(INDEX(Setup!$N$9:$N$14,MATCH(O476,Setup!$M$9:$M$14,0))&amp;" ","")&amp;IF(C476="","",TEXT(C476,"h:mm AM/PM")&amp;" ")&amp;D476&amp;IF(H476="",""," · "&amp;H476))</f>
        <v/>
      </c>
      <c r="AF476" s="51" t="str">
        <f aca="false">IF(OR(A476="",AA476=""),"",IF(AND(A476&gt;=Dashboard!$G$4,A476&lt;=Dashboard!$I$4),AA476+ROW()/10^9,""))</f>
        <v/>
      </c>
      <c r="AG476" s="51" t="str">
        <f aca="false">IF(A476="","",WEEKDAY(A476,2))</f>
        <v/>
      </c>
    </row>
    <row r="477" customFormat="false" ht="15" hidden="false" customHeight="false" outlineLevel="0" collapsed="false">
      <c r="A477" s="43"/>
      <c r="B477" s="11" t="str">
        <f aca="false">IF(A477="","",TEXT(A477,"ddd"))</f>
        <v/>
      </c>
      <c r="C477" s="44"/>
      <c r="D477" s="16"/>
      <c r="E477" s="16"/>
      <c r="F477" s="16"/>
      <c r="G477" s="16"/>
      <c r="H477" s="45"/>
      <c r="I477" s="45"/>
      <c r="J477" s="11" t="str">
        <f aca="false">IF(I477="","",LEN(I477))</f>
        <v/>
      </c>
      <c r="K477" s="16"/>
      <c r="L477" s="16"/>
      <c r="M477" s="11" t="str">
        <f aca="false">IF(L477="","",IFERROR(INDEX('Hashtag Bank'!$E$5:$E$104,MATCH(L477,'Hashtag Bank'!$B$5:$B$104,0)),""))</f>
        <v/>
      </c>
      <c r="N477" s="16"/>
      <c r="O477" s="16"/>
      <c r="P477" s="16"/>
      <c r="Q477" s="46" t="str">
        <f aca="true">IF(A477&amp;H477="","",TRIM(IF(AND(A477&lt;&gt;"",A477&lt;TODAY(),O477&lt;&gt;"Published",O477&lt;&gt;"Repurpose"),"⚠ Overdue ","")&amp;IF(AND(J477&lt;&gt;"",D477&lt;&gt;"",IFERROR(J477&gt;INDEX(Setup!$E$9:$E$18,MATCH(D477,Setup!$B$9:$B$18,0)),FALSE())),"✂ Caption too long ","")&amp;IF(AND(M477&lt;&gt;"",D477&lt;&gt;"",IFERROR(M477&gt;INDEX(Setup!$F$9:$F$18,MATCH(D477,Setup!$B$9:$B$18,0)),FALSE())),"# Too many tags","")))</f>
        <v/>
      </c>
      <c r="R477" s="16"/>
      <c r="S477" s="19"/>
      <c r="T477" s="19"/>
      <c r="U477" s="19"/>
      <c r="V477" s="19"/>
      <c r="W477" s="19"/>
      <c r="X477" s="19"/>
      <c r="Y477" s="19"/>
      <c r="Z477" s="47" t="str">
        <f aca="false">IF(COUNT(U477:X477)=0,"",SUM(U477:X477))</f>
        <v/>
      </c>
      <c r="AA477" s="48" t="str">
        <f aca="false">IF(OR(Z477="",N(T477)=0),"",Z477/T477)</f>
        <v/>
      </c>
      <c r="AB477" s="45"/>
      <c r="AC477" s="51" t="str">
        <f aca="false">IF(A477="","",A477+N(C477)+ROW()/10^7)</f>
        <v/>
      </c>
      <c r="AD477" s="51" t="str">
        <f aca="false">IF(A477="","",TEXT(A477,"0")&amp;"|"&amp;COUNTIFS('Content Log'!$A$5:$A$504,A477,'Content Log'!$AC$5:$AC$504,"&lt;="&amp;AC477))</f>
        <v/>
      </c>
      <c r="AE477" s="51" t="str">
        <f aca="false">IF(A477="","",IFERROR(INDEX(Setup!$N$9:$N$14,MATCH(O477,Setup!$M$9:$M$14,0))&amp;" ","")&amp;IF(C477="","",TEXT(C477,"h:mm AM/PM")&amp;" ")&amp;D477&amp;IF(H477="",""," · "&amp;H477))</f>
        <v/>
      </c>
      <c r="AF477" s="51" t="str">
        <f aca="false">IF(OR(A477="",AA477=""),"",IF(AND(A477&gt;=Dashboard!$G$4,A477&lt;=Dashboard!$I$4),AA477+ROW()/10^9,""))</f>
        <v/>
      </c>
      <c r="AG477" s="51" t="str">
        <f aca="false">IF(A477="","",WEEKDAY(A477,2))</f>
        <v/>
      </c>
    </row>
    <row r="478" customFormat="false" ht="15" hidden="false" customHeight="false" outlineLevel="0" collapsed="false">
      <c r="A478" s="43"/>
      <c r="B478" s="11" t="str">
        <f aca="false">IF(A478="","",TEXT(A478,"ddd"))</f>
        <v/>
      </c>
      <c r="C478" s="44"/>
      <c r="D478" s="16"/>
      <c r="E478" s="16"/>
      <c r="F478" s="16"/>
      <c r="G478" s="16"/>
      <c r="H478" s="45"/>
      <c r="I478" s="45"/>
      <c r="J478" s="11" t="str">
        <f aca="false">IF(I478="","",LEN(I478))</f>
        <v/>
      </c>
      <c r="K478" s="16"/>
      <c r="L478" s="16"/>
      <c r="M478" s="11" t="str">
        <f aca="false">IF(L478="","",IFERROR(INDEX('Hashtag Bank'!$E$5:$E$104,MATCH(L478,'Hashtag Bank'!$B$5:$B$104,0)),""))</f>
        <v/>
      </c>
      <c r="N478" s="16"/>
      <c r="O478" s="16"/>
      <c r="P478" s="16"/>
      <c r="Q478" s="46" t="str">
        <f aca="true">IF(A478&amp;H478="","",TRIM(IF(AND(A478&lt;&gt;"",A478&lt;TODAY(),O478&lt;&gt;"Published",O478&lt;&gt;"Repurpose"),"⚠ Overdue ","")&amp;IF(AND(J478&lt;&gt;"",D478&lt;&gt;"",IFERROR(J478&gt;INDEX(Setup!$E$9:$E$18,MATCH(D478,Setup!$B$9:$B$18,0)),FALSE())),"✂ Caption too long ","")&amp;IF(AND(M478&lt;&gt;"",D478&lt;&gt;"",IFERROR(M478&gt;INDEX(Setup!$F$9:$F$18,MATCH(D478,Setup!$B$9:$B$18,0)),FALSE())),"# Too many tags","")))</f>
        <v/>
      </c>
      <c r="R478" s="16"/>
      <c r="S478" s="19"/>
      <c r="T478" s="19"/>
      <c r="U478" s="19"/>
      <c r="V478" s="19"/>
      <c r="W478" s="19"/>
      <c r="X478" s="19"/>
      <c r="Y478" s="19"/>
      <c r="Z478" s="47" t="str">
        <f aca="false">IF(COUNT(U478:X478)=0,"",SUM(U478:X478))</f>
        <v/>
      </c>
      <c r="AA478" s="48" t="str">
        <f aca="false">IF(OR(Z478="",N(T478)=0),"",Z478/T478)</f>
        <v/>
      </c>
      <c r="AB478" s="45"/>
      <c r="AC478" s="51" t="str">
        <f aca="false">IF(A478="","",A478+N(C478)+ROW()/10^7)</f>
        <v/>
      </c>
      <c r="AD478" s="51" t="str">
        <f aca="false">IF(A478="","",TEXT(A478,"0")&amp;"|"&amp;COUNTIFS('Content Log'!$A$5:$A$504,A478,'Content Log'!$AC$5:$AC$504,"&lt;="&amp;AC478))</f>
        <v/>
      </c>
      <c r="AE478" s="51" t="str">
        <f aca="false">IF(A478="","",IFERROR(INDEX(Setup!$N$9:$N$14,MATCH(O478,Setup!$M$9:$M$14,0))&amp;" ","")&amp;IF(C478="","",TEXT(C478,"h:mm AM/PM")&amp;" ")&amp;D478&amp;IF(H478="",""," · "&amp;H478))</f>
        <v/>
      </c>
      <c r="AF478" s="51" t="str">
        <f aca="false">IF(OR(A478="",AA478=""),"",IF(AND(A478&gt;=Dashboard!$G$4,A478&lt;=Dashboard!$I$4),AA478+ROW()/10^9,""))</f>
        <v/>
      </c>
      <c r="AG478" s="51" t="str">
        <f aca="false">IF(A478="","",WEEKDAY(A478,2))</f>
        <v/>
      </c>
    </row>
    <row r="479" customFormat="false" ht="15" hidden="false" customHeight="false" outlineLevel="0" collapsed="false">
      <c r="A479" s="43"/>
      <c r="B479" s="11" t="str">
        <f aca="false">IF(A479="","",TEXT(A479,"ddd"))</f>
        <v/>
      </c>
      <c r="C479" s="44"/>
      <c r="D479" s="16"/>
      <c r="E479" s="16"/>
      <c r="F479" s="16"/>
      <c r="G479" s="16"/>
      <c r="H479" s="45"/>
      <c r="I479" s="45"/>
      <c r="J479" s="11" t="str">
        <f aca="false">IF(I479="","",LEN(I479))</f>
        <v/>
      </c>
      <c r="K479" s="16"/>
      <c r="L479" s="16"/>
      <c r="M479" s="11" t="str">
        <f aca="false">IF(L479="","",IFERROR(INDEX('Hashtag Bank'!$E$5:$E$104,MATCH(L479,'Hashtag Bank'!$B$5:$B$104,0)),""))</f>
        <v/>
      </c>
      <c r="N479" s="16"/>
      <c r="O479" s="16"/>
      <c r="P479" s="16"/>
      <c r="Q479" s="46" t="str">
        <f aca="true">IF(A479&amp;H479="","",TRIM(IF(AND(A479&lt;&gt;"",A479&lt;TODAY(),O479&lt;&gt;"Published",O479&lt;&gt;"Repurpose"),"⚠ Overdue ","")&amp;IF(AND(J479&lt;&gt;"",D479&lt;&gt;"",IFERROR(J479&gt;INDEX(Setup!$E$9:$E$18,MATCH(D479,Setup!$B$9:$B$18,0)),FALSE())),"✂ Caption too long ","")&amp;IF(AND(M479&lt;&gt;"",D479&lt;&gt;"",IFERROR(M479&gt;INDEX(Setup!$F$9:$F$18,MATCH(D479,Setup!$B$9:$B$18,0)),FALSE())),"# Too many tags","")))</f>
        <v/>
      </c>
      <c r="R479" s="16"/>
      <c r="S479" s="19"/>
      <c r="T479" s="19"/>
      <c r="U479" s="19"/>
      <c r="V479" s="19"/>
      <c r="W479" s="19"/>
      <c r="X479" s="19"/>
      <c r="Y479" s="19"/>
      <c r="Z479" s="47" t="str">
        <f aca="false">IF(COUNT(U479:X479)=0,"",SUM(U479:X479))</f>
        <v/>
      </c>
      <c r="AA479" s="48" t="str">
        <f aca="false">IF(OR(Z479="",N(T479)=0),"",Z479/T479)</f>
        <v/>
      </c>
      <c r="AB479" s="45"/>
      <c r="AC479" s="51" t="str">
        <f aca="false">IF(A479="","",A479+N(C479)+ROW()/10^7)</f>
        <v/>
      </c>
      <c r="AD479" s="51" t="str">
        <f aca="false">IF(A479="","",TEXT(A479,"0")&amp;"|"&amp;COUNTIFS('Content Log'!$A$5:$A$504,A479,'Content Log'!$AC$5:$AC$504,"&lt;="&amp;AC479))</f>
        <v/>
      </c>
      <c r="AE479" s="51" t="str">
        <f aca="false">IF(A479="","",IFERROR(INDEX(Setup!$N$9:$N$14,MATCH(O479,Setup!$M$9:$M$14,0))&amp;" ","")&amp;IF(C479="","",TEXT(C479,"h:mm AM/PM")&amp;" ")&amp;D479&amp;IF(H479="",""," · "&amp;H479))</f>
        <v/>
      </c>
      <c r="AF479" s="51" t="str">
        <f aca="false">IF(OR(A479="",AA479=""),"",IF(AND(A479&gt;=Dashboard!$G$4,A479&lt;=Dashboard!$I$4),AA479+ROW()/10^9,""))</f>
        <v/>
      </c>
      <c r="AG479" s="51" t="str">
        <f aca="false">IF(A479="","",WEEKDAY(A479,2))</f>
        <v/>
      </c>
    </row>
    <row r="480" customFormat="false" ht="15" hidden="false" customHeight="false" outlineLevel="0" collapsed="false">
      <c r="A480" s="43"/>
      <c r="B480" s="11" t="str">
        <f aca="false">IF(A480="","",TEXT(A480,"ddd"))</f>
        <v/>
      </c>
      <c r="C480" s="44"/>
      <c r="D480" s="16"/>
      <c r="E480" s="16"/>
      <c r="F480" s="16"/>
      <c r="G480" s="16"/>
      <c r="H480" s="45"/>
      <c r="I480" s="45"/>
      <c r="J480" s="11" t="str">
        <f aca="false">IF(I480="","",LEN(I480))</f>
        <v/>
      </c>
      <c r="K480" s="16"/>
      <c r="L480" s="16"/>
      <c r="M480" s="11" t="str">
        <f aca="false">IF(L480="","",IFERROR(INDEX('Hashtag Bank'!$E$5:$E$104,MATCH(L480,'Hashtag Bank'!$B$5:$B$104,0)),""))</f>
        <v/>
      </c>
      <c r="N480" s="16"/>
      <c r="O480" s="16"/>
      <c r="P480" s="16"/>
      <c r="Q480" s="46" t="str">
        <f aca="true">IF(A480&amp;H480="","",TRIM(IF(AND(A480&lt;&gt;"",A480&lt;TODAY(),O480&lt;&gt;"Published",O480&lt;&gt;"Repurpose"),"⚠ Overdue ","")&amp;IF(AND(J480&lt;&gt;"",D480&lt;&gt;"",IFERROR(J480&gt;INDEX(Setup!$E$9:$E$18,MATCH(D480,Setup!$B$9:$B$18,0)),FALSE())),"✂ Caption too long ","")&amp;IF(AND(M480&lt;&gt;"",D480&lt;&gt;"",IFERROR(M480&gt;INDEX(Setup!$F$9:$F$18,MATCH(D480,Setup!$B$9:$B$18,0)),FALSE())),"# Too many tags","")))</f>
        <v/>
      </c>
      <c r="R480" s="16"/>
      <c r="S480" s="19"/>
      <c r="T480" s="19"/>
      <c r="U480" s="19"/>
      <c r="V480" s="19"/>
      <c r="W480" s="19"/>
      <c r="X480" s="19"/>
      <c r="Y480" s="19"/>
      <c r="Z480" s="47" t="str">
        <f aca="false">IF(COUNT(U480:X480)=0,"",SUM(U480:X480))</f>
        <v/>
      </c>
      <c r="AA480" s="48" t="str">
        <f aca="false">IF(OR(Z480="",N(T480)=0),"",Z480/T480)</f>
        <v/>
      </c>
      <c r="AB480" s="45"/>
      <c r="AC480" s="51" t="str">
        <f aca="false">IF(A480="","",A480+N(C480)+ROW()/10^7)</f>
        <v/>
      </c>
      <c r="AD480" s="51" t="str">
        <f aca="false">IF(A480="","",TEXT(A480,"0")&amp;"|"&amp;COUNTIFS('Content Log'!$A$5:$A$504,A480,'Content Log'!$AC$5:$AC$504,"&lt;="&amp;AC480))</f>
        <v/>
      </c>
      <c r="AE480" s="51" t="str">
        <f aca="false">IF(A480="","",IFERROR(INDEX(Setup!$N$9:$N$14,MATCH(O480,Setup!$M$9:$M$14,0))&amp;" ","")&amp;IF(C480="","",TEXT(C480,"h:mm AM/PM")&amp;" ")&amp;D480&amp;IF(H480="",""," · "&amp;H480))</f>
        <v/>
      </c>
      <c r="AF480" s="51" t="str">
        <f aca="false">IF(OR(A480="",AA480=""),"",IF(AND(A480&gt;=Dashboard!$G$4,A480&lt;=Dashboard!$I$4),AA480+ROW()/10^9,""))</f>
        <v/>
      </c>
      <c r="AG480" s="51" t="str">
        <f aca="false">IF(A480="","",WEEKDAY(A480,2))</f>
        <v/>
      </c>
    </row>
    <row r="481" customFormat="false" ht="15" hidden="false" customHeight="false" outlineLevel="0" collapsed="false">
      <c r="A481" s="43"/>
      <c r="B481" s="11" t="str">
        <f aca="false">IF(A481="","",TEXT(A481,"ddd"))</f>
        <v/>
      </c>
      <c r="C481" s="44"/>
      <c r="D481" s="16"/>
      <c r="E481" s="16"/>
      <c r="F481" s="16"/>
      <c r="G481" s="16"/>
      <c r="H481" s="45"/>
      <c r="I481" s="45"/>
      <c r="J481" s="11" t="str">
        <f aca="false">IF(I481="","",LEN(I481))</f>
        <v/>
      </c>
      <c r="K481" s="16"/>
      <c r="L481" s="16"/>
      <c r="M481" s="11" t="str">
        <f aca="false">IF(L481="","",IFERROR(INDEX('Hashtag Bank'!$E$5:$E$104,MATCH(L481,'Hashtag Bank'!$B$5:$B$104,0)),""))</f>
        <v/>
      </c>
      <c r="N481" s="16"/>
      <c r="O481" s="16"/>
      <c r="P481" s="16"/>
      <c r="Q481" s="46" t="str">
        <f aca="true">IF(A481&amp;H481="","",TRIM(IF(AND(A481&lt;&gt;"",A481&lt;TODAY(),O481&lt;&gt;"Published",O481&lt;&gt;"Repurpose"),"⚠ Overdue ","")&amp;IF(AND(J481&lt;&gt;"",D481&lt;&gt;"",IFERROR(J481&gt;INDEX(Setup!$E$9:$E$18,MATCH(D481,Setup!$B$9:$B$18,0)),FALSE())),"✂ Caption too long ","")&amp;IF(AND(M481&lt;&gt;"",D481&lt;&gt;"",IFERROR(M481&gt;INDEX(Setup!$F$9:$F$18,MATCH(D481,Setup!$B$9:$B$18,0)),FALSE())),"# Too many tags","")))</f>
        <v/>
      </c>
      <c r="R481" s="16"/>
      <c r="S481" s="19"/>
      <c r="T481" s="19"/>
      <c r="U481" s="19"/>
      <c r="V481" s="19"/>
      <c r="W481" s="19"/>
      <c r="X481" s="19"/>
      <c r="Y481" s="19"/>
      <c r="Z481" s="47" t="str">
        <f aca="false">IF(COUNT(U481:X481)=0,"",SUM(U481:X481))</f>
        <v/>
      </c>
      <c r="AA481" s="48" t="str">
        <f aca="false">IF(OR(Z481="",N(T481)=0),"",Z481/T481)</f>
        <v/>
      </c>
      <c r="AB481" s="45"/>
      <c r="AC481" s="51" t="str">
        <f aca="false">IF(A481="","",A481+N(C481)+ROW()/10^7)</f>
        <v/>
      </c>
      <c r="AD481" s="51" t="str">
        <f aca="false">IF(A481="","",TEXT(A481,"0")&amp;"|"&amp;COUNTIFS('Content Log'!$A$5:$A$504,A481,'Content Log'!$AC$5:$AC$504,"&lt;="&amp;AC481))</f>
        <v/>
      </c>
      <c r="AE481" s="51" t="str">
        <f aca="false">IF(A481="","",IFERROR(INDEX(Setup!$N$9:$N$14,MATCH(O481,Setup!$M$9:$M$14,0))&amp;" ","")&amp;IF(C481="","",TEXT(C481,"h:mm AM/PM")&amp;" ")&amp;D481&amp;IF(H481="",""," · "&amp;H481))</f>
        <v/>
      </c>
      <c r="AF481" s="51" t="str">
        <f aca="false">IF(OR(A481="",AA481=""),"",IF(AND(A481&gt;=Dashboard!$G$4,A481&lt;=Dashboard!$I$4),AA481+ROW()/10^9,""))</f>
        <v/>
      </c>
      <c r="AG481" s="51" t="str">
        <f aca="false">IF(A481="","",WEEKDAY(A481,2))</f>
        <v/>
      </c>
    </row>
    <row r="482" customFormat="false" ht="15" hidden="false" customHeight="false" outlineLevel="0" collapsed="false">
      <c r="A482" s="43"/>
      <c r="B482" s="11" t="str">
        <f aca="false">IF(A482="","",TEXT(A482,"ddd"))</f>
        <v/>
      </c>
      <c r="C482" s="44"/>
      <c r="D482" s="16"/>
      <c r="E482" s="16"/>
      <c r="F482" s="16"/>
      <c r="G482" s="16"/>
      <c r="H482" s="45"/>
      <c r="I482" s="45"/>
      <c r="J482" s="11" t="str">
        <f aca="false">IF(I482="","",LEN(I482))</f>
        <v/>
      </c>
      <c r="K482" s="16"/>
      <c r="L482" s="16"/>
      <c r="M482" s="11" t="str">
        <f aca="false">IF(L482="","",IFERROR(INDEX('Hashtag Bank'!$E$5:$E$104,MATCH(L482,'Hashtag Bank'!$B$5:$B$104,0)),""))</f>
        <v/>
      </c>
      <c r="N482" s="16"/>
      <c r="O482" s="16"/>
      <c r="P482" s="16"/>
      <c r="Q482" s="46" t="str">
        <f aca="true">IF(A482&amp;H482="","",TRIM(IF(AND(A482&lt;&gt;"",A482&lt;TODAY(),O482&lt;&gt;"Published",O482&lt;&gt;"Repurpose"),"⚠ Overdue ","")&amp;IF(AND(J482&lt;&gt;"",D482&lt;&gt;"",IFERROR(J482&gt;INDEX(Setup!$E$9:$E$18,MATCH(D482,Setup!$B$9:$B$18,0)),FALSE())),"✂ Caption too long ","")&amp;IF(AND(M482&lt;&gt;"",D482&lt;&gt;"",IFERROR(M482&gt;INDEX(Setup!$F$9:$F$18,MATCH(D482,Setup!$B$9:$B$18,0)),FALSE())),"# Too many tags","")))</f>
        <v/>
      </c>
      <c r="R482" s="16"/>
      <c r="S482" s="19"/>
      <c r="T482" s="19"/>
      <c r="U482" s="19"/>
      <c r="V482" s="19"/>
      <c r="W482" s="19"/>
      <c r="X482" s="19"/>
      <c r="Y482" s="19"/>
      <c r="Z482" s="47" t="str">
        <f aca="false">IF(COUNT(U482:X482)=0,"",SUM(U482:X482))</f>
        <v/>
      </c>
      <c r="AA482" s="48" t="str">
        <f aca="false">IF(OR(Z482="",N(T482)=0),"",Z482/T482)</f>
        <v/>
      </c>
      <c r="AB482" s="45"/>
      <c r="AC482" s="51" t="str">
        <f aca="false">IF(A482="","",A482+N(C482)+ROW()/10^7)</f>
        <v/>
      </c>
      <c r="AD482" s="51" t="str">
        <f aca="false">IF(A482="","",TEXT(A482,"0")&amp;"|"&amp;COUNTIFS('Content Log'!$A$5:$A$504,A482,'Content Log'!$AC$5:$AC$504,"&lt;="&amp;AC482))</f>
        <v/>
      </c>
      <c r="AE482" s="51" t="str">
        <f aca="false">IF(A482="","",IFERROR(INDEX(Setup!$N$9:$N$14,MATCH(O482,Setup!$M$9:$M$14,0))&amp;" ","")&amp;IF(C482="","",TEXT(C482,"h:mm AM/PM")&amp;" ")&amp;D482&amp;IF(H482="",""," · "&amp;H482))</f>
        <v/>
      </c>
      <c r="AF482" s="51" t="str">
        <f aca="false">IF(OR(A482="",AA482=""),"",IF(AND(A482&gt;=Dashboard!$G$4,A482&lt;=Dashboard!$I$4),AA482+ROW()/10^9,""))</f>
        <v/>
      </c>
      <c r="AG482" s="51" t="str">
        <f aca="false">IF(A482="","",WEEKDAY(A482,2))</f>
        <v/>
      </c>
    </row>
    <row r="483" customFormat="false" ht="15" hidden="false" customHeight="false" outlineLevel="0" collapsed="false">
      <c r="A483" s="43"/>
      <c r="B483" s="11" t="str">
        <f aca="false">IF(A483="","",TEXT(A483,"ddd"))</f>
        <v/>
      </c>
      <c r="C483" s="44"/>
      <c r="D483" s="16"/>
      <c r="E483" s="16"/>
      <c r="F483" s="16"/>
      <c r="G483" s="16"/>
      <c r="H483" s="45"/>
      <c r="I483" s="45"/>
      <c r="J483" s="11" t="str">
        <f aca="false">IF(I483="","",LEN(I483))</f>
        <v/>
      </c>
      <c r="K483" s="16"/>
      <c r="L483" s="16"/>
      <c r="M483" s="11" t="str">
        <f aca="false">IF(L483="","",IFERROR(INDEX('Hashtag Bank'!$E$5:$E$104,MATCH(L483,'Hashtag Bank'!$B$5:$B$104,0)),""))</f>
        <v/>
      </c>
      <c r="N483" s="16"/>
      <c r="O483" s="16"/>
      <c r="P483" s="16"/>
      <c r="Q483" s="46" t="str">
        <f aca="true">IF(A483&amp;H483="","",TRIM(IF(AND(A483&lt;&gt;"",A483&lt;TODAY(),O483&lt;&gt;"Published",O483&lt;&gt;"Repurpose"),"⚠ Overdue ","")&amp;IF(AND(J483&lt;&gt;"",D483&lt;&gt;"",IFERROR(J483&gt;INDEX(Setup!$E$9:$E$18,MATCH(D483,Setup!$B$9:$B$18,0)),FALSE())),"✂ Caption too long ","")&amp;IF(AND(M483&lt;&gt;"",D483&lt;&gt;"",IFERROR(M483&gt;INDEX(Setup!$F$9:$F$18,MATCH(D483,Setup!$B$9:$B$18,0)),FALSE())),"# Too many tags","")))</f>
        <v/>
      </c>
      <c r="R483" s="16"/>
      <c r="S483" s="19"/>
      <c r="T483" s="19"/>
      <c r="U483" s="19"/>
      <c r="V483" s="19"/>
      <c r="W483" s="19"/>
      <c r="X483" s="19"/>
      <c r="Y483" s="19"/>
      <c r="Z483" s="47" t="str">
        <f aca="false">IF(COUNT(U483:X483)=0,"",SUM(U483:X483))</f>
        <v/>
      </c>
      <c r="AA483" s="48" t="str">
        <f aca="false">IF(OR(Z483="",N(T483)=0),"",Z483/T483)</f>
        <v/>
      </c>
      <c r="AB483" s="45"/>
      <c r="AC483" s="51" t="str">
        <f aca="false">IF(A483="","",A483+N(C483)+ROW()/10^7)</f>
        <v/>
      </c>
      <c r="AD483" s="51" t="str">
        <f aca="false">IF(A483="","",TEXT(A483,"0")&amp;"|"&amp;COUNTIFS('Content Log'!$A$5:$A$504,A483,'Content Log'!$AC$5:$AC$504,"&lt;="&amp;AC483))</f>
        <v/>
      </c>
      <c r="AE483" s="51" t="str">
        <f aca="false">IF(A483="","",IFERROR(INDEX(Setup!$N$9:$N$14,MATCH(O483,Setup!$M$9:$M$14,0))&amp;" ","")&amp;IF(C483="","",TEXT(C483,"h:mm AM/PM")&amp;" ")&amp;D483&amp;IF(H483="",""," · "&amp;H483))</f>
        <v/>
      </c>
      <c r="AF483" s="51" t="str">
        <f aca="false">IF(OR(A483="",AA483=""),"",IF(AND(A483&gt;=Dashboard!$G$4,A483&lt;=Dashboard!$I$4),AA483+ROW()/10^9,""))</f>
        <v/>
      </c>
      <c r="AG483" s="51" t="str">
        <f aca="false">IF(A483="","",WEEKDAY(A483,2))</f>
        <v/>
      </c>
    </row>
    <row r="484" customFormat="false" ht="15" hidden="false" customHeight="false" outlineLevel="0" collapsed="false">
      <c r="A484" s="43"/>
      <c r="B484" s="11" t="str">
        <f aca="false">IF(A484="","",TEXT(A484,"ddd"))</f>
        <v/>
      </c>
      <c r="C484" s="44"/>
      <c r="D484" s="16"/>
      <c r="E484" s="16"/>
      <c r="F484" s="16"/>
      <c r="G484" s="16"/>
      <c r="H484" s="45"/>
      <c r="I484" s="45"/>
      <c r="J484" s="11" t="str">
        <f aca="false">IF(I484="","",LEN(I484))</f>
        <v/>
      </c>
      <c r="K484" s="16"/>
      <c r="L484" s="16"/>
      <c r="M484" s="11" t="str">
        <f aca="false">IF(L484="","",IFERROR(INDEX('Hashtag Bank'!$E$5:$E$104,MATCH(L484,'Hashtag Bank'!$B$5:$B$104,0)),""))</f>
        <v/>
      </c>
      <c r="N484" s="16"/>
      <c r="O484" s="16"/>
      <c r="P484" s="16"/>
      <c r="Q484" s="46" t="str">
        <f aca="true">IF(A484&amp;H484="","",TRIM(IF(AND(A484&lt;&gt;"",A484&lt;TODAY(),O484&lt;&gt;"Published",O484&lt;&gt;"Repurpose"),"⚠ Overdue ","")&amp;IF(AND(J484&lt;&gt;"",D484&lt;&gt;"",IFERROR(J484&gt;INDEX(Setup!$E$9:$E$18,MATCH(D484,Setup!$B$9:$B$18,0)),FALSE())),"✂ Caption too long ","")&amp;IF(AND(M484&lt;&gt;"",D484&lt;&gt;"",IFERROR(M484&gt;INDEX(Setup!$F$9:$F$18,MATCH(D484,Setup!$B$9:$B$18,0)),FALSE())),"# Too many tags","")))</f>
        <v/>
      </c>
      <c r="R484" s="16"/>
      <c r="S484" s="19"/>
      <c r="T484" s="19"/>
      <c r="U484" s="19"/>
      <c r="V484" s="19"/>
      <c r="W484" s="19"/>
      <c r="X484" s="19"/>
      <c r="Y484" s="19"/>
      <c r="Z484" s="47" t="str">
        <f aca="false">IF(COUNT(U484:X484)=0,"",SUM(U484:X484))</f>
        <v/>
      </c>
      <c r="AA484" s="48" t="str">
        <f aca="false">IF(OR(Z484="",N(T484)=0),"",Z484/T484)</f>
        <v/>
      </c>
      <c r="AB484" s="45"/>
      <c r="AC484" s="51" t="str">
        <f aca="false">IF(A484="","",A484+N(C484)+ROW()/10^7)</f>
        <v/>
      </c>
      <c r="AD484" s="51" t="str">
        <f aca="false">IF(A484="","",TEXT(A484,"0")&amp;"|"&amp;COUNTIFS('Content Log'!$A$5:$A$504,A484,'Content Log'!$AC$5:$AC$504,"&lt;="&amp;AC484))</f>
        <v/>
      </c>
      <c r="AE484" s="51" t="str">
        <f aca="false">IF(A484="","",IFERROR(INDEX(Setup!$N$9:$N$14,MATCH(O484,Setup!$M$9:$M$14,0))&amp;" ","")&amp;IF(C484="","",TEXT(C484,"h:mm AM/PM")&amp;" ")&amp;D484&amp;IF(H484="",""," · "&amp;H484))</f>
        <v/>
      </c>
      <c r="AF484" s="51" t="str">
        <f aca="false">IF(OR(A484="",AA484=""),"",IF(AND(A484&gt;=Dashboard!$G$4,A484&lt;=Dashboard!$I$4),AA484+ROW()/10^9,""))</f>
        <v/>
      </c>
      <c r="AG484" s="51" t="str">
        <f aca="false">IF(A484="","",WEEKDAY(A484,2))</f>
        <v/>
      </c>
    </row>
    <row r="485" customFormat="false" ht="15" hidden="false" customHeight="false" outlineLevel="0" collapsed="false">
      <c r="A485" s="43"/>
      <c r="B485" s="11" t="str">
        <f aca="false">IF(A485="","",TEXT(A485,"ddd"))</f>
        <v/>
      </c>
      <c r="C485" s="44"/>
      <c r="D485" s="16"/>
      <c r="E485" s="16"/>
      <c r="F485" s="16"/>
      <c r="G485" s="16"/>
      <c r="H485" s="45"/>
      <c r="I485" s="45"/>
      <c r="J485" s="11" t="str">
        <f aca="false">IF(I485="","",LEN(I485))</f>
        <v/>
      </c>
      <c r="K485" s="16"/>
      <c r="L485" s="16"/>
      <c r="M485" s="11" t="str">
        <f aca="false">IF(L485="","",IFERROR(INDEX('Hashtag Bank'!$E$5:$E$104,MATCH(L485,'Hashtag Bank'!$B$5:$B$104,0)),""))</f>
        <v/>
      </c>
      <c r="N485" s="16"/>
      <c r="O485" s="16"/>
      <c r="P485" s="16"/>
      <c r="Q485" s="46" t="str">
        <f aca="true">IF(A485&amp;H485="","",TRIM(IF(AND(A485&lt;&gt;"",A485&lt;TODAY(),O485&lt;&gt;"Published",O485&lt;&gt;"Repurpose"),"⚠ Overdue ","")&amp;IF(AND(J485&lt;&gt;"",D485&lt;&gt;"",IFERROR(J485&gt;INDEX(Setup!$E$9:$E$18,MATCH(D485,Setup!$B$9:$B$18,0)),FALSE())),"✂ Caption too long ","")&amp;IF(AND(M485&lt;&gt;"",D485&lt;&gt;"",IFERROR(M485&gt;INDEX(Setup!$F$9:$F$18,MATCH(D485,Setup!$B$9:$B$18,0)),FALSE())),"# Too many tags","")))</f>
        <v/>
      </c>
      <c r="R485" s="16"/>
      <c r="S485" s="19"/>
      <c r="T485" s="19"/>
      <c r="U485" s="19"/>
      <c r="V485" s="19"/>
      <c r="W485" s="19"/>
      <c r="X485" s="19"/>
      <c r="Y485" s="19"/>
      <c r="Z485" s="47" t="str">
        <f aca="false">IF(COUNT(U485:X485)=0,"",SUM(U485:X485))</f>
        <v/>
      </c>
      <c r="AA485" s="48" t="str">
        <f aca="false">IF(OR(Z485="",N(T485)=0),"",Z485/T485)</f>
        <v/>
      </c>
      <c r="AB485" s="45"/>
      <c r="AC485" s="51" t="str">
        <f aca="false">IF(A485="","",A485+N(C485)+ROW()/10^7)</f>
        <v/>
      </c>
      <c r="AD485" s="51" t="str">
        <f aca="false">IF(A485="","",TEXT(A485,"0")&amp;"|"&amp;COUNTIFS('Content Log'!$A$5:$A$504,A485,'Content Log'!$AC$5:$AC$504,"&lt;="&amp;AC485))</f>
        <v/>
      </c>
      <c r="AE485" s="51" t="str">
        <f aca="false">IF(A485="","",IFERROR(INDEX(Setup!$N$9:$N$14,MATCH(O485,Setup!$M$9:$M$14,0))&amp;" ","")&amp;IF(C485="","",TEXT(C485,"h:mm AM/PM")&amp;" ")&amp;D485&amp;IF(H485="",""," · "&amp;H485))</f>
        <v/>
      </c>
      <c r="AF485" s="51" t="str">
        <f aca="false">IF(OR(A485="",AA485=""),"",IF(AND(A485&gt;=Dashboard!$G$4,A485&lt;=Dashboard!$I$4),AA485+ROW()/10^9,""))</f>
        <v/>
      </c>
      <c r="AG485" s="51" t="str">
        <f aca="false">IF(A485="","",WEEKDAY(A485,2))</f>
        <v/>
      </c>
    </row>
    <row r="486" customFormat="false" ht="15" hidden="false" customHeight="false" outlineLevel="0" collapsed="false">
      <c r="A486" s="43"/>
      <c r="B486" s="11" t="str">
        <f aca="false">IF(A486="","",TEXT(A486,"ddd"))</f>
        <v/>
      </c>
      <c r="C486" s="44"/>
      <c r="D486" s="16"/>
      <c r="E486" s="16"/>
      <c r="F486" s="16"/>
      <c r="G486" s="16"/>
      <c r="H486" s="45"/>
      <c r="I486" s="45"/>
      <c r="J486" s="11" t="str">
        <f aca="false">IF(I486="","",LEN(I486))</f>
        <v/>
      </c>
      <c r="K486" s="16"/>
      <c r="L486" s="16"/>
      <c r="M486" s="11" t="str">
        <f aca="false">IF(L486="","",IFERROR(INDEX('Hashtag Bank'!$E$5:$E$104,MATCH(L486,'Hashtag Bank'!$B$5:$B$104,0)),""))</f>
        <v/>
      </c>
      <c r="N486" s="16"/>
      <c r="O486" s="16"/>
      <c r="P486" s="16"/>
      <c r="Q486" s="46" t="str">
        <f aca="true">IF(A486&amp;H486="","",TRIM(IF(AND(A486&lt;&gt;"",A486&lt;TODAY(),O486&lt;&gt;"Published",O486&lt;&gt;"Repurpose"),"⚠ Overdue ","")&amp;IF(AND(J486&lt;&gt;"",D486&lt;&gt;"",IFERROR(J486&gt;INDEX(Setup!$E$9:$E$18,MATCH(D486,Setup!$B$9:$B$18,0)),FALSE())),"✂ Caption too long ","")&amp;IF(AND(M486&lt;&gt;"",D486&lt;&gt;"",IFERROR(M486&gt;INDEX(Setup!$F$9:$F$18,MATCH(D486,Setup!$B$9:$B$18,0)),FALSE())),"# Too many tags","")))</f>
        <v/>
      </c>
      <c r="R486" s="16"/>
      <c r="S486" s="19"/>
      <c r="T486" s="19"/>
      <c r="U486" s="19"/>
      <c r="V486" s="19"/>
      <c r="W486" s="19"/>
      <c r="X486" s="19"/>
      <c r="Y486" s="19"/>
      <c r="Z486" s="47" t="str">
        <f aca="false">IF(COUNT(U486:X486)=0,"",SUM(U486:X486))</f>
        <v/>
      </c>
      <c r="AA486" s="48" t="str">
        <f aca="false">IF(OR(Z486="",N(T486)=0),"",Z486/T486)</f>
        <v/>
      </c>
      <c r="AB486" s="45"/>
      <c r="AC486" s="51" t="str">
        <f aca="false">IF(A486="","",A486+N(C486)+ROW()/10^7)</f>
        <v/>
      </c>
      <c r="AD486" s="51" t="str">
        <f aca="false">IF(A486="","",TEXT(A486,"0")&amp;"|"&amp;COUNTIFS('Content Log'!$A$5:$A$504,A486,'Content Log'!$AC$5:$AC$504,"&lt;="&amp;AC486))</f>
        <v/>
      </c>
      <c r="AE486" s="51" t="str">
        <f aca="false">IF(A486="","",IFERROR(INDEX(Setup!$N$9:$N$14,MATCH(O486,Setup!$M$9:$M$14,0))&amp;" ","")&amp;IF(C486="","",TEXT(C486,"h:mm AM/PM")&amp;" ")&amp;D486&amp;IF(H486="",""," · "&amp;H486))</f>
        <v/>
      </c>
      <c r="AF486" s="51" t="str">
        <f aca="false">IF(OR(A486="",AA486=""),"",IF(AND(A486&gt;=Dashboard!$G$4,A486&lt;=Dashboard!$I$4),AA486+ROW()/10^9,""))</f>
        <v/>
      </c>
      <c r="AG486" s="51" t="str">
        <f aca="false">IF(A486="","",WEEKDAY(A486,2))</f>
        <v/>
      </c>
    </row>
    <row r="487" customFormat="false" ht="15" hidden="false" customHeight="false" outlineLevel="0" collapsed="false">
      <c r="A487" s="43"/>
      <c r="B487" s="11" t="str">
        <f aca="false">IF(A487="","",TEXT(A487,"ddd"))</f>
        <v/>
      </c>
      <c r="C487" s="44"/>
      <c r="D487" s="16"/>
      <c r="E487" s="16"/>
      <c r="F487" s="16"/>
      <c r="G487" s="16"/>
      <c r="H487" s="45"/>
      <c r="I487" s="45"/>
      <c r="J487" s="11" t="str">
        <f aca="false">IF(I487="","",LEN(I487))</f>
        <v/>
      </c>
      <c r="K487" s="16"/>
      <c r="L487" s="16"/>
      <c r="M487" s="11" t="str">
        <f aca="false">IF(L487="","",IFERROR(INDEX('Hashtag Bank'!$E$5:$E$104,MATCH(L487,'Hashtag Bank'!$B$5:$B$104,0)),""))</f>
        <v/>
      </c>
      <c r="N487" s="16"/>
      <c r="O487" s="16"/>
      <c r="P487" s="16"/>
      <c r="Q487" s="46" t="str">
        <f aca="true">IF(A487&amp;H487="","",TRIM(IF(AND(A487&lt;&gt;"",A487&lt;TODAY(),O487&lt;&gt;"Published",O487&lt;&gt;"Repurpose"),"⚠ Overdue ","")&amp;IF(AND(J487&lt;&gt;"",D487&lt;&gt;"",IFERROR(J487&gt;INDEX(Setup!$E$9:$E$18,MATCH(D487,Setup!$B$9:$B$18,0)),FALSE())),"✂ Caption too long ","")&amp;IF(AND(M487&lt;&gt;"",D487&lt;&gt;"",IFERROR(M487&gt;INDEX(Setup!$F$9:$F$18,MATCH(D487,Setup!$B$9:$B$18,0)),FALSE())),"# Too many tags","")))</f>
        <v/>
      </c>
      <c r="R487" s="16"/>
      <c r="S487" s="19"/>
      <c r="T487" s="19"/>
      <c r="U487" s="19"/>
      <c r="V487" s="19"/>
      <c r="W487" s="19"/>
      <c r="X487" s="19"/>
      <c r="Y487" s="19"/>
      <c r="Z487" s="47" t="str">
        <f aca="false">IF(COUNT(U487:X487)=0,"",SUM(U487:X487))</f>
        <v/>
      </c>
      <c r="AA487" s="48" t="str">
        <f aca="false">IF(OR(Z487="",N(T487)=0),"",Z487/T487)</f>
        <v/>
      </c>
      <c r="AB487" s="45"/>
      <c r="AC487" s="51" t="str">
        <f aca="false">IF(A487="","",A487+N(C487)+ROW()/10^7)</f>
        <v/>
      </c>
      <c r="AD487" s="51" t="str">
        <f aca="false">IF(A487="","",TEXT(A487,"0")&amp;"|"&amp;COUNTIFS('Content Log'!$A$5:$A$504,A487,'Content Log'!$AC$5:$AC$504,"&lt;="&amp;AC487))</f>
        <v/>
      </c>
      <c r="AE487" s="51" t="str">
        <f aca="false">IF(A487="","",IFERROR(INDEX(Setup!$N$9:$N$14,MATCH(O487,Setup!$M$9:$M$14,0))&amp;" ","")&amp;IF(C487="","",TEXT(C487,"h:mm AM/PM")&amp;" ")&amp;D487&amp;IF(H487="",""," · "&amp;H487))</f>
        <v/>
      </c>
      <c r="AF487" s="51" t="str">
        <f aca="false">IF(OR(A487="",AA487=""),"",IF(AND(A487&gt;=Dashboard!$G$4,A487&lt;=Dashboard!$I$4),AA487+ROW()/10^9,""))</f>
        <v/>
      </c>
      <c r="AG487" s="51" t="str">
        <f aca="false">IF(A487="","",WEEKDAY(A487,2))</f>
        <v/>
      </c>
    </row>
    <row r="488" customFormat="false" ht="15" hidden="false" customHeight="false" outlineLevel="0" collapsed="false">
      <c r="A488" s="43"/>
      <c r="B488" s="11" t="str">
        <f aca="false">IF(A488="","",TEXT(A488,"ddd"))</f>
        <v/>
      </c>
      <c r="C488" s="44"/>
      <c r="D488" s="16"/>
      <c r="E488" s="16"/>
      <c r="F488" s="16"/>
      <c r="G488" s="16"/>
      <c r="H488" s="45"/>
      <c r="I488" s="45"/>
      <c r="J488" s="11" t="str">
        <f aca="false">IF(I488="","",LEN(I488))</f>
        <v/>
      </c>
      <c r="K488" s="16"/>
      <c r="L488" s="16"/>
      <c r="M488" s="11" t="str">
        <f aca="false">IF(L488="","",IFERROR(INDEX('Hashtag Bank'!$E$5:$E$104,MATCH(L488,'Hashtag Bank'!$B$5:$B$104,0)),""))</f>
        <v/>
      </c>
      <c r="N488" s="16"/>
      <c r="O488" s="16"/>
      <c r="P488" s="16"/>
      <c r="Q488" s="46" t="str">
        <f aca="true">IF(A488&amp;H488="","",TRIM(IF(AND(A488&lt;&gt;"",A488&lt;TODAY(),O488&lt;&gt;"Published",O488&lt;&gt;"Repurpose"),"⚠ Overdue ","")&amp;IF(AND(J488&lt;&gt;"",D488&lt;&gt;"",IFERROR(J488&gt;INDEX(Setup!$E$9:$E$18,MATCH(D488,Setup!$B$9:$B$18,0)),FALSE())),"✂ Caption too long ","")&amp;IF(AND(M488&lt;&gt;"",D488&lt;&gt;"",IFERROR(M488&gt;INDEX(Setup!$F$9:$F$18,MATCH(D488,Setup!$B$9:$B$18,0)),FALSE())),"# Too many tags","")))</f>
        <v/>
      </c>
      <c r="R488" s="16"/>
      <c r="S488" s="19"/>
      <c r="T488" s="19"/>
      <c r="U488" s="19"/>
      <c r="V488" s="19"/>
      <c r="W488" s="19"/>
      <c r="X488" s="19"/>
      <c r="Y488" s="19"/>
      <c r="Z488" s="47" t="str">
        <f aca="false">IF(COUNT(U488:X488)=0,"",SUM(U488:X488))</f>
        <v/>
      </c>
      <c r="AA488" s="48" t="str">
        <f aca="false">IF(OR(Z488="",N(T488)=0),"",Z488/T488)</f>
        <v/>
      </c>
      <c r="AB488" s="45"/>
      <c r="AC488" s="51" t="str">
        <f aca="false">IF(A488="","",A488+N(C488)+ROW()/10^7)</f>
        <v/>
      </c>
      <c r="AD488" s="51" t="str">
        <f aca="false">IF(A488="","",TEXT(A488,"0")&amp;"|"&amp;COUNTIFS('Content Log'!$A$5:$A$504,A488,'Content Log'!$AC$5:$AC$504,"&lt;="&amp;AC488))</f>
        <v/>
      </c>
      <c r="AE488" s="51" t="str">
        <f aca="false">IF(A488="","",IFERROR(INDEX(Setup!$N$9:$N$14,MATCH(O488,Setup!$M$9:$M$14,0))&amp;" ","")&amp;IF(C488="","",TEXT(C488,"h:mm AM/PM")&amp;" ")&amp;D488&amp;IF(H488="",""," · "&amp;H488))</f>
        <v/>
      </c>
      <c r="AF488" s="51" t="str">
        <f aca="false">IF(OR(A488="",AA488=""),"",IF(AND(A488&gt;=Dashboard!$G$4,A488&lt;=Dashboard!$I$4),AA488+ROW()/10^9,""))</f>
        <v/>
      </c>
      <c r="AG488" s="51" t="str">
        <f aca="false">IF(A488="","",WEEKDAY(A488,2))</f>
        <v/>
      </c>
    </row>
    <row r="489" customFormat="false" ht="15" hidden="false" customHeight="false" outlineLevel="0" collapsed="false">
      <c r="A489" s="43"/>
      <c r="B489" s="11" t="str">
        <f aca="false">IF(A489="","",TEXT(A489,"ddd"))</f>
        <v/>
      </c>
      <c r="C489" s="44"/>
      <c r="D489" s="16"/>
      <c r="E489" s="16"/>
      <c r="F489" s="16"/>
      <c r="G489" s="16"/>
      <c r="H489" s="45"/>
      <c r="I489" s="45"/>
      <c r="J489" s="11" t="str">
        <f aca="false">IF(I489="","",LEN(I489))</f>
        <v/>
      </c>
      <c r="K489" s="16"/>
      <c r="L489" s="16"/>
      <c r="M489" s="11" t="str">
        <f aca="false">IF(L489="","",IFERROR(INDEX('Hashtag Bank'!$E$5:$E$104,MATCH(L489,'Hashtag Bank'!$B$5:$B$104,0)),""))</f>
        <v/>
      </c>
      <c r="N489" s="16"/>
      <c r="O489" s="16"/>
      <c r="P489" s="16"/>
      <c r="Q489" s="46" t="str">
        <f aca="true">IF(A489&amp;H489="","",TRIM(IF(AND(A489&lt;&gt;"",A489&lt;TODAY(),O489&lt;&gt;"Published",O489&lt;&gt;"Repurpose"),"⚠ Overdue ","")&amp;IF(AND(J489&lt;&gt;"",D489&lt;&gt;"",IFERROR(J489&gt;INDEX(Setup!$E$9:$E$18,MATCH(D489,Setup!$B$9:$B$18,0)),FALSE())),"✂ Caption too long ","")&amp;IF(AND(M489&lt;&gt;"",D489&lt;&gt;"",IFERROR(M489&gt;INDEX(Setup!$F$9:$F$18,MATCH(D489,Setup!$B$9:$B$18,0)),FALSE())),"# Too many tags","")))</f>
        <v/>
      </c>
      <c r="R489" s="16"/>
      <c r="S489" s="19"/>
      <c r="T489" s="19"/>
      <c r="U489" s="19"/>
      <c r="V489" s="19"/>
      <c r="W489" s="19"/>
      <c r="X489" s="19"/>
      <c r="Y489" s="19"/>
      <c r="Z489" s="47" t="str">
        <f aca="false">IF(COUNT(U489:X489)=0,"",SUM(U489:X489))</f>
        <v/>
      </c>
      <c r="AA489" s="48" t="str">
        <f aca="false">IF(OR(Z489="",N(T489)=0),"",Z489/T489)</f>
        <v/>
      </c>
      <c r="AB489" s="45"/>
      <c r="AC489" s="51" t="str">
        <f aca="false">IF(A489="","",A489+N(C489)+ROW()/10^7)</f>
        <v/>
      </c>
      <c r="AD489" s="51" t="str">
        <f aca="false">IF(A489="","",TEXT(A489,"0")&amp;"|"&amp;COUNTIFS('Content Log'!$A$5:$A$504,A489,'Content Log'!$AC$5:$AC$504,"&lt;="&amp;AC489))</f>
        <v/>
      </c>
      <c r="AE489" s="51" t="str">
        <f aca="false">IF(A489="","",IFERROR(INDEX(Setup!$N$9:$N$14,MATCH(O489,Setup!$M$9:$M$14,0))&amp;" ","")&amp;IF(C489="","",TEXT(C489,"h:mm AM/PM")&amp;" ")&amp;D489&amp;IF(H489="",""," · "&amp;H489))</f>
        <v/>
      </c>
      <c r="AF489" s="51" t="str">
        <f aca="false">IF(OR(A489="",AA489=""),"",IF(AND(A489&gt;=Dashboard!$G$4,A489&lt;=Dashboard!$I$4),AA489+ROW()/10^9,""))</f>
        <v/>
      </c>
      <c r="AG489" s="51" t="str">
        <f aca="false">IF(A489="","",WEEKDAY(A489,2))</f>
        <v/>
      </c>
    </row>
    <row r="490" customFormat="false" ht="15" hidden="false" customHeight="false" outlineLevel="0" collapsed="false">
      <c r="A490" s="43"/>
      <c r="B490" s="11" t="str">
        <f aca="false">IF(A490="","",TEXT(A490,"ddd"))</f>
        <v/>
      </c>
      <c r="C490" s="44"/>
      <c r="D490" s="16"/>
      <c r="E490" s="16"/>
      <c r="F490" s="16"/>
      <c r="G490" s="16"/>
      <c r="H490" s="45"/>
      <c r="I490" s="45"/>
      <c r="J490" s="11" t="str">
        <f aca="false">IF(I490="","",LEN(I490))</f>
        <v/>
      </c>
      <c r="K490" s="16"/>
      <c r="L490" s="16"/>
      <c r="M490" s="11" t="str">
        <f aca="false">IF(L490="","",IFERROR(INDEX('Hashtag Bank'!$E$5:$E$104,MATCH(L490,'Hashtag Bank'!$B$5:$B$104,0)),""))</f>
        <v/>
      </c>
      <c r="N490" s="16"/>
      <c r="O490" s="16"/>
      <c r="P490" s="16"/>
      <c r="Q490" s="46" t="str">
        <f aca="true">IF(A490&amp;H490="","",TRIM(IF(AND(A490&lt;&gt;"",A490&lt;TODAY(),O490&lt;&gt;"Published",O490&lt;&gt;"Repurpose"),"⚠ Overdue ","")&amp;IF(AND(J490&lt;&gt;"",D490&lt;&gt;"",IFERROR(J490&gt;INDEX(Setup!$E$9:$E$18,MATCH(D490,Setup!$B$9:$B$18,0)),FALSE())),"✂ Caption too long ","")&amp;IF(AND(M490&lt;&gt;"",D490&lt;&gt;"",IFERROR(M490&gt;INDEX(Setup!$F$9:$F$18,MATCH(D490,Setup!$B$9:$B$18,0)),FALSE())),"# Too many tags","")))</f>
        <v/>
      </c>
      <c r="R490" s="16"/>
      <c r="S490" s="19"/>
      <c r="T490" s="19"/>
      <c r="U490" s="19"/>
      <c r="V490" s="19"/>
      <c r="W490" s="19"/>
      <c r="X490" s="19"/>
      <c r="Y490" s="19"/>
      <c r="Z490" s="47" t="str">
        <f aca="false">IF(COUNT(U490:X490)=0,"",SUM(U490:X490))</f>
        <v/>
      </c>
      <c r="AA490" s="48" t="str">
        <f aca="false">IF(OR(Z490="",N(T490)=0),"",Z490/T490)</f>
        <v/>
      </c>
      <c r="AB490" s="45"/>
      <c r="AC490" s="51" t="str">
        <f aca="false">IF(A490="","",A490+N(C490)+ROW()/10^7)</f>
        <v/>
      </c>
      <c r="AD490" s="51" t="str">
        <f aca="false">IF(A490="","",TEXT(A490,"0")&amp;"|"&amp;COUNTIFS('Content Log'!$A$5:$A$504,A490,'Content Log'!$AC$5:$AC$504,"&lt;="&amp;AC490))</f>
        <v/>
      </c>
      <c r="AE490" s="51" t="str">
        <f aca="false">IF(A490="","",IFERROR(INDEX(Setup!$N$9:$N$14,MATCH(O490,Setup!$M$9:$M$14,0))&amp;" ","")&amp;IF(C490="","",TEXT(C490,"h:mm AM/PM")&amp;" ")&amp;D490&amp;IF(H490="",""," · "&amp;H490))</f>
        <v/>
      </c>
      <c r="AF490" s="51" t="str">
        <f aca="false">IF(OR(A490="",AA490=""),"",IF(AND(A490&gt;=Dashboard!$G$4,A490&lt;=Dashboard!$I$4),AA490+ROW()/10^9,""))</f>
        <v/>
      </c>
      <c r="AG490" s="51" t="str">
        <f aca="false">IF(A490="","",WEEKDAY(A490,2))</f>
        <v/>
      </c>
    </row>
    <row r="491" customFormat="false" ht="15" hidden="false" customHeight="false" outlineLevel="0" collapsed="false">
      <c r="A491" s="43"/>
      <c r="B491" s="11" t="str">
        <f aca="false">IF(A491="","",TEXT(A491,"ddd"))</f>
        <v/>
      </c>
      <c r="C491" s="44"/>
      <c r="D491" s="16"/>
      <c r="E491" s="16"/>
      <c r="F491" s="16"/>
      <c r="G491" s="16"/>
      <c r="H491" s="45"/>
      <c r="I491" s="45"/>
      <c r="J491" s="11" t="str">
        <f aca="false">IF(I491="","",LEN(I491))</f>
        <v/>
      </c>
      <c r="K491" s="16"/>
      <c r="L491" s="16"/>
      <c r="M491" s="11" t="str">
        <f aca="false">IF(L491="","",IFERROR(INDEX('Hashtag Bank'!$E$5:$E$104,MATCH(L491,'Hashtag Bank'!$B$5:$B$104,0)),""))</f>
        <v/>
      </c>
      <c r="N491" s="16"/>
      <c r="O491" s="16"/>
      <c r="P491" s="16"/>
      <c r="Q491" s="46" t="str">
        <f aca="true">IF(A491&amp;H491="","",TRIM(IF(AND(A491&lt;&gt;"",A491&lt;TODAY(),O491&lt;&gt;"Published",O491&lt;&gt;"Repurpose"),"⚠ Overdue ","")&amp;IF(AND(J491&lt;&gt;"",D491&lt;&gt;"",IFERROR(J491&gt;INDEX(Setup!$E$9:$E$18,MATCH(D491,Setup!$B$9:$B$18,0)),FALSE())),"✂ Caption too long ","")&amp;IF(AND(M491&lt;&gt;"",D491&lt;&gt;"",IFERROR(M491&gt;INDEX(Setup!$F$9:$F$18,MATCH(D491,Setup!$B$9:$B$18,0)),FALSE())),"# Too many tags","")))</f>
        <v/>
      </c>
      <c r="R491" s="16"/>
      <c r="S491" s="19"/>
      <c r="T491" s="19"/>
      <c r="U491" s="19"/>
      <c r="V491" s="19"/>
      <c r="W491" s="19"/>
      <c r="X491" s="19"/>
      <c r="Y491" s="19"/>
      <c r="Z491" s="47" t="str">
        <f aca="false">IF(COUNT(U491:X491)=0,"",SUM(U491:X491))</f>
        <v/>
      </c>
      <c r="AA491" s="48" t="str">
        <f aca="false">IF(OR(Z491="",N(T491)=0),"",Z491/T491)</f>
        <v/>
      </c>
      <c r="AB491" s="45"/>
      <c r="AC491" s="51" t="str">
        <f aca="false">IF(A491="","",A491+N(C491)+ROW()/10^7)</f>
        <v/>
      </c>
      <c r="AD491" s="51" t="str">
        <f aca="false">IF(A491="","",TEXT(A491,"0")&amp;"|"&amp;COUNTIFS('Content Log'!$A$5:$A$504,A491,'Content Log'!$AC$5:$AC$504,"&lt;="&amp;AC491))</f>
        <v/>
      </c>
      <c r="AE491" s="51" t="str">
        <f aca="false">IF(A491="","",IFERROR(INDEX(Setup!$N$9:$N$14,MATCH(O491,Setup!$M$9:$M$14,0))&amp;" ","")&amp;IF(C491="","",TEXT(C491,"h:mm AM/PM")&amp;" ")&amp;D491&amp;IF(H491="",""," · "&amp;H491))</f>
        <v/>
      </c>
      <c r="AF491" s="51" t="str">
        <f aca="false">IF(OR(A491="",AA491=""),"",IF(AND(A491&gt;=Dashboard!$G$4,A491&lt;=Dashboard!$I$4),AA491+ROW()/10^9,""))</f>
        <v/>
      </c>
      <c r="AG491" s="51" t="str">
        <f aca="false">IF(A491="","",WEEKDAY(A491,2))</f>
        <v/>
      </c>
    </row>
    <row r="492" customFormat="false" ht="15" hidden="false" customHeight="false" outlineLevel="0" collapsed="false">
      <c r="A492" s="43"/>
      <c r="B492" s="11" t="str">
        <f aca="false">IF(A492="","",TEXT(A492,"ddd"))</f>
        <v/>
      </c>
      <c r="C492" s="44"/>
      <c r="D492" s="16"/>
      <c r="E492" s="16"/>
      <c r="F492" s="16"/>
      <c r="G492" s="16"/>
      <c r="H492" s="45"/>
      <c r="I492" s="45"/>
      <c r="J492" s="11" t="str">
        <f aca="false">IF(I492="","",LEN(I492))</f>
        <v/>
      </c>
      <c r="K492" s="16"/>
      <c r="L492" s="16"/>
      <c r="M492" s="11" t="str">
        <f aca="false">IF(L492="","",IFERROR(INDEX('Hashtag Bank'!$E$5:$E$104,MATCH(L492,'Hashtag Bank'!$B$5:$B$104,0)),""))</f>
        <v/>
      </c>
      <c r="N492" s="16"/>
      <c r="O492" s="16"/>
      <c r="P492" s="16"/>
      <c r="Q492" s="46" t="str">
        <f aca="true">IF(A492&amp;H492="","",TRIM(IF(AND(A492&lt;&gt;"",A492&lt;TODAY(),O492&lt;&gt;"Published",O492&lt;&gt;"Repurpose"),"⚠ Overdue ","")&amp;IF(AND(J492&lt;&gt;"",D492&lt;&gt;"",IFERROR(J492&gt;INDEX(Setup!$E$9:$E$18,MATCH(D492,Setup!$B$9:$B$18,0)),FALSE())),"✂ Caption too long ","")&amp;IF(AND(M492&lt;&gt;"",D492&lt;&gt;"",IFERROR(M492&gt;INDEX(Setup!$F$9:$F$18,MATCH(D492,Setup!$B$9:$B$18,0)),FALSE())),"# Too many tags","")))</f>
        <v/>
      </c>
      <c r="R492" s="16"/>
      <c r="S492" s="19"/>
      <c r="T492" s="19"/>
      <c r="U492" s="19"/>
      <c r="V492" s="19"/>
      <c r="W492" s="19"/>
      <c r="X492" s="19"/>
      <c r="Y492" s="19"/>
      <c r="Z492" s="47" t="str">
        <f aca="false">IF(COUNT(U492:X492)=0,"",SUM(U492:X492))</f>
        <v/>
      </c>
      <c r="AA492" s="48" t="str">
        <f aca="false">IF(OR(Z492="",N(T492)=0),"",Z492/T492)</f>
        <v/>
      </c>
      <c r="AB492" s="45"/>
      <c r="AC492" s="51" t="str">
        <f aca="false">IF(A492="","",A492+N(C492)+ROW()/10^7)</f>
        <v/>
      </c>
      <c r="AD492" s="51" t="str">
        <f aca="false">IF(A492="","",TEXT(A492,"0")&amp;"|"&amp;COUNTIFS('Content Log'!$A$5:$A$504,A492,'Content Log'!$AC$5:$AC$504,"&lt;="&amp;AC492))</f>
        <v/>
      </c>
      <c r="AE492" s="51" t="str">
        <f aca="false">IF(A492="","",IFERROR(INDEX(Setup!$N$9:$N$14,MATCH(O492,Setup!$M$9:$M$14,0))&amp;" ","")&amp;IF(C492="","",TEXT(C492,"h:mm AM/PM")&amp;" ")&amp;D492&amp;IF(H492="",""," · "&amp;H492))</f>
        <v/>
      </c>
      <c r="AF492" s="51" t="str">
        <f aca="false">IF(OR(A492="",AA492=""),"",IF(AND(A492&gt;=Dashboard!$G$4,A492&lt;=Dashboard!$I$4),AA492+ROW()/10^9,""))</f>
        <v/>
      </c>
      <c r="AG492" s="51" t="str">
        <f aca="false">IF(A492="","",WEEKDAY(A492,2))</f>
        <v/>
      </c>
    </row>
    <row r="493" customFormat="false" ht="15" hidden="false" customHeight="false" outlineLevel="0" collapsed="false">
      <c r="A493" s="43"/>
      <c r="B493" s="11" t="str">
        <f aca="false">IF(A493="","",TEXT(A493,"ddd"))</f>
        <v/>
      </c>
      <c r="C493" s="44"/>
      <c r="D493" s="16"/>
      <c r="E493" s="16"/>
      <c r="F493" s="16"/>
      <c r="G493" s="16"/>
      <c r="H493" s="45"/>
      <c r="I493" s="45"/>
      <c r="J493" s="11" t="str">
        <f aca="false">IF(I493="","",LEN(I493))</f>
        <v/>
      </c>
      <c r="K493" s="16"/>
      <c r="L493" s="16"/>
      <c r="M493" s="11" t="str">
        <f aca="false">IF(L493="","",IFERROR(INDEX('Hashtag Bank'!$E$5:$E$104,MATCH(L493,'Hashtag Bank'!$B$5:$B$104,0)),""))</f>
        <v/>
      </c>
      <c r="N493" s="16"/>
      <c r="O493" s="16"/>
      <c r="P493" s="16"/>
      <c r="Q493" s="46" t="str">
        <f aca="true">IF(A493&amp;H493="","",TRIM(IF(AND(A493&lt;&gt;"",A493&lt;TODAY(),O493&lt;&gt;"Published",O493&lt;&gt;"Repurpose"),"⚠ Overdue ","")&amp;IF(AND(J493&lt;&gt;"",D493&lt;&gt;"",IFERROR(J493&gt;INDEX(Setup!$E$9:$E$18,MATCH(D493,Setup!$B$9:$B$18,0)),FALSE())),"✂ Caption too long ","")&amp;IF(AND(M493&lt;&gt;"",D493&lt;&gt;"",IFERROR(M493&gt;INDEX(Setup!$F$9:$F$18,MATCH(D493,Setup!$B$9:$B$18,0)),FALSE())),"# Too many tags","")))</f>
        <v/>
      </c>
      <c r="R493" s="16"/>
      <c r="S493" s="19"/>
      <c r="T493" s="19"/>
      <c r="U493" s="19"/>
      <c r="V493" s="19"/>
      <c r="W493" s="19"/>
      <c r="X493" s="19"/>
      <c r="Y493" s="19"/>
      <c r="Z493" s="47" t="str">
        <f aca="false">IF(COUNT(U493:X493)=0,"",SUM(U493:X493))</f>
        <v/>
      </c>
      <c r="AA493" s="48" t="str">
        <f aca="false">IF(OR(Z493="",N(T493)=0),"",Z493/T493)</f>
        <v/>
      </c>
      <c r="AB493" s="45"/>
      <c r="AC493" s="51" t="str">
        <f aca="false">IF(A493="","",A493+N(C493)+ROW()/10^7)</f>
        <v/>
      </c>
      <c r="AD493" s="51" t="str">
        <f aca="false">IF(A493="","",TEXT(A493,"0")&amp;"|"&amp;COUNTIFS('Content Log'!$A$5:$A$504,A493,'Content Log'!$AC$5:$AC$504,"&lt;="&amp;AC493))</f>
        <v/>
      </c>
      <c r="AE493" s="51" t="str">
        <f aca="false">IF(A493="","",IFERROR(INDEX(Setup!$N$9:$N$14,MATCH(O493,Setup!$M$9:$M$14,0))&amp;" ","")&amp;IF(C493="","",TEXT(C493,"h:mm AM/PM")&amp;" ")&amp;D493&amp;IF(H493="",""," · "&amp;H493))</f>
        <v/>
      </c>
      <c r="AF493" s="51" t="str">
        <f aca="false">IF(OR(A493="",AA493=""),"",IF(AND(A493&gt;=Dashboard!$G$4,A493&lt;=Dashboard!$I$4),AA493+ROW()/10^9,""))</f>
        <v/>
      </c>
      <c r="AG493" s="51" t="str">
        <f aca="false">IF(A493="","",WEEKDAY(A493,2))</f>
        <v/>
      </c>
    </row>
    <row r="494" customFormat="false" ht="15" hidden="false" customHeight="false" outlineLevel="0" collapsed="false">
      <c r="A494" s="43"/>
      <c r="B494" s="11" t="str">
        <f aca="false">IF(A494="","",TEXT(A494,"ddd"))</f>
        <v/>
      </c>
      <c r="C494" s="44"/>
      <c r="D494" s="16"/>
      <c r="E494" s="16"/>
      <c r="F494" s="16"/>
      <c r="G494" s="16"/>
      <c r="H494" s="45"/>
      <c r="I494" s="45"/>
      <c r="J494" s="11" t="str">
        <f aca="false">IF(I494="","",LEN(I494))</f>
        <v/>
      </c>
      <c r="K494" s="16"/>
      <c r="L494" s="16"/>
      <c r="M494" s="11" t="str">
        <f aca="false">IF(L494="","",IFERROR(INDEX('Hashtag Bank'!$E$5:$E$104,MATCH(L494,'Hashtag Bank'!$B$5:$B$104,0)),""))</f>
        <v/>
      </c>
      <c r="N494" s="16"/>
      <c r="O494" s="16"/>
      <c r="P494" s="16"/>
      <c r="Q494" s="46" t="str">
        <f aca="true">IF(A494&amp;H494="","",TRIM(IF(AND(A494&lt;&gt;"",A494&lt;TODAY(),O494&lt;&gt;"Published",O494&lt;&gt;"Repurpose"),"⚠ Overdue ","")&amp;IF(AND(J494&lt;&gt;"",D494&lt;&gt;"",IFERROR(J494&gt;INDEX(Setup!$E$9:$E$18,MATCH(D494,Setup!$B$9:$B$18,0)),FALSE())),"✂ Caption too long ","")&amp;IF(AND(M494&lt;&gt;"",D494&lt;&gt;"",IFERROR(M494&gt;INDEX(Setup!$F$9:$F$18,MATCH(D494,Setup!$B$9:$B$18,0)),FALSE())),"# Too many tags","")))</f>
        <v/>
      </c>
      <c r="R494" s="16"/>
      <c r="S494" s="19"/>
      <c r="T494" s="19"/>
      <c r="U494" s="19"/>
      <c r="V494" s="19"/>
      <c r="W494" s="19"/>
      <c r="X494" s="19"/>
      <c r="Y494" s="19"/>
      <c r="Z494" s="47" t="str">
        <f aca="false">IF(COUNT(U494:X494)=0,"",SUM(U494:X494))</f>
        <v/>
      </c>
      <c r="AA494" s="48" t="str">
        <f aca="false">IF(OR(Z494="",N(T494)=0),"",Z494/T494)</f>
        <v/>
      </c>
      <c r="AB494" s="45"/>
      <c r="AC494" s="51" t="str">
        <f aca="false">IF(A494="","",A494+N(C494)+ROW()/10^7)</f>
        <v/>
      </c>
      <c r="AD494" s="51" t="str">
        <f aca="false">IF(A494="","",TEXT(A494,"0")&amp;"|"&amp;COUNTIFS('Content Log'!$A$5:$A$504,A494,'Content Log'!$AC$5:$AC$504,"&lt;="&amp;AC494))</f>
        <v/>
      </c>
      <c r="AE494" s="51" t="str">
        <f aca="false">IF(A494="","",IFERROR(INDEX(Setup!$N$9:$N$14,MATCH(O494,Setup!$M$9:$M$14,0))&amp;" ","")&amp;IF(C494="","",TEXT(C494,"h:mm AM/PM")&amp;" ")&amp;D494&amp;IF(H494="",""," · "&amp;H494))</f>
        <v/>
      </c>
      <c r="AF494" s="51" t="str">
        <f aca="false">IF(OR(A494="",AA494=""),"",IF(AND(A494&gt;=Dashboard!$G$4,A494&lt;=Dashboard!$I$4),AA494+ROW()/10^9,""))</f>
        <v/>
      </c>
      <c r="AG494" s="51" t="str">
        <f aca="false">IF(A494="","",WEEKDAY(A494,2))</f>
        <v/>
      </c>
    </row>
    <row r="495" customFormat="false" ht="15" hidden="false" customHeight="false" outlineLevel="0" collapsed="false">
      <c r="A495" s="43"/>
      <c r="B495" s="11" t="str">
        <f aca="false">IF(A495="","",TEXT(A495,"ddd"))</f>
        <v/>
      </c>
      <c r="C495" s="44"/>
      <c r="D495" s="16"/>
      <c r="E495" s="16"/>
      <c r="F495" s="16"/>
      <c r="G495" s="16"/>
      <c r="H495" s="45"/>
      <c r="I495" s="45"/>
      <c r="J495" s="11" t="str">
        <f aca="false">IF(I495="","",LEN(I495))</f>
        <v/>
      </c>
      <c r="K495" s="16"/>
      <c r="L495" s="16"/>
      <c r="M495" s="11" t="str">
        <f aca="false">IF(L495="","",IFERROR(INDEX('Hashtag Bank'!$E$5:$E$104,MATCH(L495,'Hashtag Bank'!$B$5:$B$104,0)),""))</f>
        <v/>
      </c>
      <c r="N495" s="16"/>
      <c r="O495" s="16"/>
      <c r="P495" s="16"/>
      <c r="Q495" s="46" t="str">
        <f aca="true">IF(A495&amp;H495="","",TRIM(IF(AND(A495&lt;&gt;"",A495&lt;TODAY(),O495&lt;&gt;"Published",O495&lt;&gt;"Repurpose"),"⚠ Overdue ","")&amp;IF(AND(J495&lt;&gt;"",D495&lt;&gt;"",IFERROR(J495&gt;INDEX(Setup!$E$9:$E$18,MATCH(D495,Setup!$B$9:$B$18,0)),FALSE())),"✂ Caption too long ","")&amp;IF(AND(M495&lt;&gt;"",D495&lt;&gt;"",IFERROR(M495&gt;INDEX(Setup!$F$9:$F$18,MATCH(D495,Setup!$B$9:$B$18,0)),FALSE())),"# Too many tags","")))</f>
        <v/>
      </c>
      <c r="R495" s="16"/>
      <c r="S495" s="19"/>
      <c r="T495" s="19"/>
      <c r="U495" s="19"/>
      <c r="V495" s="19"/>
      <c r="W495" s="19"/>
      <c r="X495" s="19"/>
      <c r="Y495" s="19"/>
      <c r="Z495" s="47" t="str">
        <f aca="false">IF(COUNT(U495:X495)=0,"",SUM(U495:X495))</f>
        <v/>
      </c>
      <c r="AA495" s="48" t="str">
        <f aca="false">IF(OR(Z495="",N(T495)=0),"",Z495/T495)</f>
        <v/>
      </c>
      <c r="AB495" s="45"/>
      <c r="AC495" s="51" t="str">
        <f aca="false">IF(A495="","",A495+N(C495)+ROW()/10^7)</f>
        <v/>
      </c>
      <c r="AD495" s="51" t="str">
        <f aca="false">IF(A495="","",TEXT(A495,"0")&amp;"|"&amp;COUNTIFS('Content Log'!$A$5:$A$504,A495,'Content Log'!$AC$5:$AC$504,"&lt;="&amp;AC495))</f>
        <v/>
      </c>
      <c r="AE495" s="51" t="str">
        <f aca="false">IF(A495="","",IFERROR(INDEX(Setup!$N$9:$N$14,MATCH(O495,Setup!$M$9:$M$14,0))&amp;" ","")&amp;IF(C495="","",TEXT(C495,"h:mm AM/PM")&amp;" ")&amp;D495&amp;IF(H495="",""," · "&amp;H495))</f>
        <v/>
      </c>
      <c r="AF495" s="51" t="str">
        <f aca="false">IF(OR(A495="",AA495=""),"",IF(AND(A495&gt;=Dashboard!$G$4,A495&lt;=Dashboard!$I$4),AA495+ROW()/10^9,""))</f>
        <v/>
      </c>
      <c r="AG495" s="51" t="str">
        <f aca="false">IF(A495="","",WEEKDAY(A495,2))</f>
        <v/>
      </c>
    </row>
    <row r="496" customFormat="false" ht="15" hidden="false" customHeight="false" outlineLevel="0" collapsed="false">
      <c r="A496" s="43"/>
      <c r="B496" s="11" t="str">
        <f aca="false">IF(A496="","",TEXT(A496,"ddd"))</f>
        <v/>
      </c>
      <c r="C496" s="44"/>
      <c r="D496" s="16"/>
      <c r="E496" s="16"/>
      <c r="F496" s="16"/>
      <c r="G496" s="16"/>
      <c r="H496" s="45"/>
      <c r="I496" s="45"/>
      <c r="J496" s="11" t="str">
        <f aca="false">IF(I496="","",LEN(I496))</f>
        <v/>
      </c>
      <c r="K496" s="16"/>
      <c r="L496" s="16"/>
      <c r="M496" s="11" t="str">
        <f aca="false">IF(L496="","",IFERROR(INDEX('Hashtag Bank'!$E$5:$E$104,MATCH(L496,'Hashtag Bank'!$B$5:$B$104,0)),""))</f>
        <v/>
      </c>
      <c r="N496" s="16"/>
      <c r="O496" s="16"/>
      <c r="P496" s="16"/>
      <c r="Q496" s="46" t="str">
        <f aca="true">IF(A496&amp;H496="","",TRIM(IF(AND(A496&lt;&gt;"",A496&lt;TODAY(),O496&lt;&gt;"Published",O496&lt;&gt;"Repurpose"),"⚠ Overdue ","")&amp;IF(AND(J496&lt;&gt;"",D496&lt;&gt;"",IFERROR(J496&gt;INDEX(Setup!$E$9:$E$18,MATCH(D496,Setup!$B$9:$B$18,0)),FALSE())),"✂ Caption too long ","")&amp;IF(AND(M496&lt;&gt;"",D496&lt;&gt;"",IFERROR(M496&gt;INDEX(Setup!$F$9:$F$18,MATCH(D496,Setup!$B$9:$B$18,0)),FALSE())),"# Too many tags","")))</f>
        <v/>
      </c>
      <c r="R496" s="16"/>
      <c r="S496" s="19"/>
      <c r="T496" s="19"/>
      <c r="U496" s="19"/>
      <c r="V496" s="19"/>
      <c r="W496" s="19"/>
      <c r="X496" s="19"/>
      <c r="Y496" s="19"/>
      <c r="Z496" s="47" t="str">
        <f aca="false">IF(COUNT(U496:X496)=0,"",SUM(U496:X496))</f>
        <v/>
      </c>
      <c r="AA496" s="48" t="str">
        <f aca="false">IF(OR(Z496="",N(T496)=0),"",Z496/T496)</f>
        <v/>
      </c>
      <c r="AB496" s="45"/>
      <c r="AC496" s="51" t="str">
        <f aca="false">IF(A496="","",A496+N(C496)+ROW()/10^7)</f>
        <v/>
      </c>
      <c r="AD496" s="51" t="str">
        <f aca="false">IF(A496="","",TEXT(A496,"0")&amp;"|"&amp;COUNTIFS('Content Log'!$A$5:$A$504,A496,'Content Log'!$AC$5:$AC$504,"&lt;="&amp;AC496))</f>
        <v/>
      </c>
      <c r="AE496" s="51" t="str">
        <f aca="false">IF(A496="","",IFERROR(INDEX(Setup!$N$9:$N$14,MATCH(O496,Setup!$M$9:$M$14,0))&amp;" ","")&amp;IF(C496="","",TEXT(C496,"h:mm AM/PM")&amp;" ")&amp;D496&amp;IF(H496="",""," · "&amp;H496))</f>
        <v/>
      </c>
      <c r="AF496" s="51" t="str">
        <f aca="false">IF(OR(A496="",AA496=""),"",IF(AND(A496&gt;=Dashboard!$G$4,A496&lt;=Dashboard!$I$4),AA496+ROW()/10^9,""))</f>
        <v/>
      </c>
      <c r="AG496" s="51" t="str">
        <f aca="false">IF(A496="","",WEEKDAY(A496,2))</f>
        <v/>
      </c>
    </row>
    <row r="497" customFormat="false" ht="15" hidden="false" customHeight="false" outlineLevel="0" collapsed="false">
      <c r="A497" s="43"/>
      <c r="B497" s="11" t="str">
        <f aca="false">IF(A497="","",TEXT(A497,"ddd"))</f>
        <v/>
      </c>
      <c r="C497" s="44"/>
      <c r="D497" s="16"/>
      <c r="E497" s="16"/>
      <c r="F497" s="16"/>
      <c r="G497" s="16"/>
      <c r="H497" s="45"/>
      <c r="I497" s="45"/>
      <c r="J497" s="11" t="str">
        <f aca="false">IF(I497="","",LEN(I497))</f>
        <v/>
      </c>
      <c r="K497" s="16"/>
      <c r="L497" s="16"/>
      <c r="M497" s="11" t="str">
        <f aca="false">IF(L497="","",IFERROR(INDEX('Hashtag Bank'!$E$5:$E$104,MATCH(L497,'Hashtag Bank'!$B$5:$B$104,0)),""))</f>
        <v/>
      </c>
      <c r="N497" s="16"/>
      <c r="O497" s="16"/>
      <c r="P497" s="16"/>
      <c r="Q497" s="46" t="str">
        <f aca="true">IF(A497&amp;H497="","",TRIM(IF(AND(A497&lt;&gt;"",A497&lt;TODAY(),O497&lt;&gt;"Published",O497&lt;&gt;"Repurpose"),"⚠ Overdue ","")&amp;IF(AND(J497&lt;&gt;"",D497&lt;&gt;"",IFERROR(J497&gt;INDEX(Setup!$E$9:$E$18,MATCH(D497,Setup!$B$9:$B$18,0)),FALSE())),"✂ Caption too long ","")&amp;IF(AND(M497&lt;&gt;"",D497&lt;&gt;"",IFERROR(M497&gt;INDEX(Setup!$F$9:$F$18,MATCH(D497,Setup!$B$9:$B$18,0)),FALSE())),"# Too many tags","")))</f>
        <v/>
      </c>
      <c r="R497" s="16"/>
      <c r="S497" s="19"/>
      <c r="T497" s="19"/>
      <c r="U497" s="19"/>
      <c r="V497" s="19"/>
      <c r="W497" s="19"/>
      <c r="X497" s="19"/>
      <c r="Y497" s="19"/>
      <c r="Z497" s="47" t="str">
        <f aca="false">IF(COUNT(U497:X497)=0,"",SUM(U497:X497))</f>
        <v/>
      </c>
      <c r="AA497" s="48" t="str">
        <f aca="false">IF(OR(Z497="",N(T497)=0),"",Z497/T497)</f>
        <v/>
      </c>
      <c r="AB497" s="45"/>
      <c r="AC497" s="51" t="str">
        <f aca="false">IF(A497="","",A497+N(C497)+ROW()/10^7)</f>
        <v/>
      </c>
      <c r="AD497" s="51" t="str">
        <f aca="false">IF(A497="","",TEXT(A497,"0")&amp;"|"&amp;COUNTIFS('Content Log'!$A$5:$A$504,A497,'Content Log'!$AC$5:$AC$504,"&lt;="&amp;AC497))</f>
        <v/>
      </c>
      <c r="AE497" s="51" t="str">
        <f aca="false">IF(A497="","",IFERROR(INDEX(Setup!$N$9:$N$14,MATCH(O497,Setup!$M$9:$M$14,0))&amp;" ","")&amp;IF(C497="","",TEXT(C497,"h:mm AM/PM")&amp;" ")&amp;D497&amp;IF(H497="",""," · "&amp;H497))</f>
        <v/>
      </c>
      <c r="AF497" s="51" t="str">
        <f aca="false">IF(OR(A497="",AA497=""),"",IF(AND(A497&gt;=Dashboard!$G$4,A497&lt;=Dashboard!$I$4),AA497+ROW()/10^9,""))</f>
        <v/>
      </c>
      <c r="AG497" s="51" t="str">
        <f aca="false">IF(A497="","",WEEKDAY(A497,2))</f>
        <v/>
      </c>
    </row>
    <row r="498" customFormat="false" ht="15" hidden="false" customHeight="false" outlineLevel="0" collapsed="false">
      <c r="A498" s="43"/>
      <c r="B498" s="11" t="str">
        <f aca="false">IF(A498="","",TEXT(A498,"ddd"))</f>
        <v/>
      </c>
      <c r="C498" s="44"/>
      <c r="D498" s="16"/>
      <c r="E498" s="16"/>
      <c r="F498" s="16"/>
      <c r="G498" s="16"/>
      <c r="H498" s="45"/>
      <c r="I498" s="45"/>
      <c r="J498" s="11" t="str">
        <f aca="false">IF(I498="","",LEN(I498))</f>
        <v/>
      </c>
      <c r="K498" s="16"/>
      <c r="L498" s="16"/>
      <c r="M498" s="11" t="str">
        <f aca="false">IF(L498="","",IFERROR(INDEX('Hashtag Bank'!$E$5:$E$104,MATCH(L498,'Hashtag Bank'!$B$5:$B$104,0)),""))</f>
        <v/>
      </c>
      <c r="N498" s="16"/>
      <c r="O498" s="16"/>
      <c r="P498" s="16"/>
      <c r="Q498" s="46" t="str">
        <f aca="true">IF(A498&amp;H498="","",TRIM(IF(AND(A498&lt;&gt;"",A498&lt;TODAY(),O498&lt;&gt;"Published",O498&lt;&gt;"Repurpose"),"⚠ Overdue ","")&amp;IF(AND(J498&lt;&gt;"",D498&lt;&gt;"",IFERROR(J498&gt;INDEX(Setup!$E$9:$E$18,MATCH(D498,Setup!$B$9:$B$18,0)),FALSE())),"✂ Caption too long ","")&amp;IF(AND(M498&lt;&gt;"",D498&lt;&gt;"",IFERROR(M498&gt;INDEX(Setup!$F$9:$F$18,MATCH(D498,Setup!$B$9:$B$18,0)),FALSE())),"# Too many tags","")))</f>
        <v/>
      </c>
      <c r="R498" s="16"/>
      <c r="S498" s="19"/>
      <c r="T498" s="19"/>
      <c r="U498" s="19"/>
      <c r="V498" s="19"/>
      <c r="W498" s="19"/>
      <c r="X498" s="19"/>
      <c r="Y498" s="19"/>
      <c r="Z498" s="47" t="str">
        <f aca="false">IF(COUNT(U498:X498)=0,"",SUM(U498:X498))</f>
        <v/>
      </c>
      <c r="AA498" s="48" t="str">
        <f aca="false">IF(OR(Z498="",N(T498)=0),"",Z498/T498)</f>
        <v/>
      </c>
      <c r="AB498" s="45"/>
      <c r="AC498" s="51" t="str">
        <f aca="false">IF(A498="","",A498+N(C498)+ROW()/10^7)</f>
        <v/>
      </c>
      <c r="AD498" s="51" t="str">
        <f aca="false">IF(A498="","",TEXT(A498,"0")&amp;"|"&amp;COUNTIFS('Content Log'!$A$5:$A$504,A498,'Content Log'!$AC$5:$AC$504,"&lt;="&amp;AC498))</f>
        <v/>
      </c>
      <c r="AE498" s="51" t="str">
        <f aca="false">IF(A498="","",IFERROR(INDEX(Setup!$N$9:$N$14,MATCH(O498,Setup!$M$9:$M$14,0))&amp;" ","")&amp;IF(C498="","",TEXT(C498,"h:mm AM/PM")&amp;" ")&amp;D498&amp;IF(H498="",""," · "&amp;H498))</f>
        <v/>
      </c>
      <c r="AF498" s="51" t="str">
        <f aca="false">IF(OR(A498="",AA498=""),"",IF(AND(A498&gt;=Dashboard!$G$4,A498&lt;=Dashboard!$I$4),AA498+ROW()/10^9,""))</f>
        <v/>
      </c>
      <c r="AG498" s="51" t="str">
        <f aca="false">IF(A498="","",WEEKDAY(A498,2))</f>
        <v/>
      </c>
    </row>
    <row r="499" customFormat="false" ht="15" hidden="false" customHeight="false" outlineLevel="0" collapsed="false">
      <c r="A499" s="43"/>
      <c r="B499" s="11" t="str">
        <f aca="false">IF(A499="","",TEXT(A499,"ddd"))</f>
        <v/>
      </c>
      <c r="C499" s="44"/>
      <c r="D499" s="16"/>
      <c r="E499" s="16"/>
      <c r="F499" s="16"/>
      <c r="G499" s="16"/>
      <c r="H499" s="45"/>
      <c r="I499" s="45"/>
      <c r="J499" s="11" t="str">
        <f aca="false">IF(I499="","",LEN(I499))</f>
        <v/>
      </c>
      <c r="K499" s="16"/>
      <c r="L499" s="16"/>
      <c r="M499" s="11" t="str">
        <f aca="false">IF(L499="","",IFERROR(INDEX('Hashtag Bank'!$E$5:$E$104,MATCH(L499,'Hashtag Bank'!$B$5:$B$104,0)),""))</f>
        <v/>
      </c>
      <c r="N499" s="16"/>
      <c r="O499" s="16"/>
      <c r="P499" s="16"/>
      <c r="Q499" s="46" t="str">
        <f aca="true">IF(A499&amp;H499="","",TRIM(IF(AND(A499&lt;&gt;"",A499&lt;TODAY(),O499&lt;&gt;"Published",O499&lt;&gt;"Repurpose"),"⚠ Overdue ","")&amp;IF(AND(J499&lt;&gt;"",D499&lt;&gt;"",IFERROR(J499&gt;INDEX(Setup!$E$9:$E$18,MATCH(D499,Setup!$B$9:$B$18,0)),FALSE())),"✂ Caption too long ","")&amp;IF(AND(M499&lt;&gt;"",D499&lt;&gt;"",IFERROR(M499&gt;INDEX(Setup!$F$9:$F$18,MATCH(D499,Setup!$B$9:$B$18,0)),FALSE())),"# Too many tags","")))</f>
        <v/>
      </c>
      <c r="R499" s="16"/>
      <c r="S499" s="19"/>
      <c r="T499" s="19"/>
      <c r="U499" s="19"/>
      <c r="V499" s="19"/>
      <c r="W499" s="19"/>
      <c r="X499" s="19"/>
      <c r="Y499" s="19"/>
      <c r="Z499" s="47" t="str">
        <f aca="false">IF(COUNT(U499:X499)=0,"",SUM(U499:X499))</f>
        <v/>
      </c>
      <c r="AA499" s="48" t="str">
        <f aca="false">IF(OR(Z499="",N(T499)=0),"",Z499/T499)</f>
        <v/>
      </c>
      <c r="AB499" s="45"/>
      <c r="AC499" s="51" t="str">
        <f aca="false">IF(A499="","",A499+N(C499)+ROW()/10^7)</f>
        <v/>
      </c>
      <c r="AD499" s="51" t="str">
        <f aca="false">IF(A499="","",TEXT(A499,"0")&amp;"|"&amp;COUNTIFS('Content Log'!$A$5:$A$504,A499,'Content Log'!$AC$5:$AC$504,"&lt;="&amp;AC499))</f>
        <v/>
      </c>
      <c r="AE499" s="51" t="str">
        <f aca="false">IF(A499="","",IFERROR(INDEX(Setup!$N$9:$N$14,MATCH(O499,Setup!$M$9:$M$14,0))&amp;" ","")&amp;IF(C499="","",TEXT(C499,"h:mm AM/PM")&amp;" ")&amp;D499&amp;IF(H499="",""," · "&amp;H499))</f>
        <v/>
      </c>
      <c r="AF499" s="51" t="str">
        <f aca="false">IF(OR(A499="",AA499=""),"",IF(AND(A499&gt;=Dashboard!$G$4,A499&lt;=Dashboard!$I$4),AA499+ROW()/10^9,""))</f>
        <v/>
      </c>
      <c r="AG499" s="51" t="str">
        <f aca="false">IF(A499="","",WEEKDAY(A499,2))</f>
        <v/>
      </c>
    </row>
    <row r="500" customFormat="false" ht="15" hidden="false" customHeight="false" outlineLevel="0" collapsed="false">
      <c r="A500" s="43"/>
      <c r="B500" s="11" t="str">
        <f aca="false">IF(A500="","",TEXT(A500,"ddd"))</f>
        <v/>
      </c>
      <c r="C500" s="44"/>
      <c r="D500" s="16"/>
      <c r="E500" s="16"/>
      <c r="F500" s="16"/>
      <c r="G500" s="16"/>
      <c r="H500" s="45"/>
      <c r="I500" s="45"/>
      <c r="J500" s="11" t="str">
        <f aca="false">IF(I500="","",LEN(I500))</f>
        <v/>
      </c>
      <c r="K500" s="16"/>
      <c r="L500" s="16"/>
      <c r="M500" s="11" t="str">
        <f aca="false">IF(L500="","",IFERROR(INDEX('Hashtag Bank'!$E$5:$E$104,MATCH(L500,'Hashtag Bank'!$B$5:$B$104,0)),""))</f>
        <v/>
      </c>
      <c r="N500" s="16"/>
      <c r="O500" s="16"/>
      <c r="P500" s="16"/>
      <c r="Q500" s="46" t="str">
        <f aca="true">IF(A500&amp;H500="","",TRIM(IF(AND(A500&lt;&gt;"",A500&lt;TODAY(),O500&lt;&gt;"Published",O500&lt;&gt;"Repurpose"),"⚠ Overdue ","")&amp;IF(AND(J500&lt;&gt;"",D500&lt;&gt;"",IFERROR(J500&gt;INDEX(Setup!$E$9:$E$18,MATCH(D500,Setup!$B$9:$B$18,0)),FALSE())),"✂ Caption too long ","")&amp;IF(AND(M500&lt;&gt;"",D500&lt;&gt;"",IFERROR(M500&gt;INDEX(Setup!$F$9:$F$18,MATCH(D500,Setup!$B$9:$B$18,0)),FALSE())),"# Too many tags","")))</f>
        <v/>
      </c>
      <c r="R500" s="16"/>
      <c r="S500" s="19"/>
      <c r="T500" s="19"/>
      <c r="U500" s="19"/>
      <c r="V500" s="19"/>
      <c r="W500" s="19"/>
      <c r="X500" s="19"/>
      <c r="Y500" s="19"/>
      <c r="Z500" s="47" t="str">
        <f aca="false">IF(COUNT(U500:X500)=0,"",SUM(U500:X500))</f>
        <v/>
      </c>
      <c r="AA500" s="48" t="str">
        <f aca="false">IF(OR(Z500="",N(T500)=0),"",Z500/T500)</f>
        <v/>
      </c>
      <c r="AB500" s="45"/>
      <c r="AC500" s="51" t="str">
        <f aca="false">IF(A500="","",A500+N(C500)+ROW()/10^7)</f>
        <v/>
      </c>
      <c r="AD500" s="51" t="str">
        <f aca="false">IF(A500="","",TEXT(A500,"0")&amp;"|"&amp;COUNTIFS('Content Log'!$A$5:$A$504,A500,'Content Log'!$AC$5:$AC$504,"&lt;="&amp;AC500))</f>
        <v/>
      </c>
      <c r="AE500" s="51" t="str">
        <f aca="false">IF(A500="","",IFERROR(INDEX(Setup!$N$9:$N$14,MATCH(O500,Setup!$M$9:$M$14,0))&amp;" ","")&amp;IF(C500="","",TEXT(C500,"h:mm AM/PM")&amp;" ")&amp;D500&amp;IF(H500="",""," · "&amp;H500))</f>
        <v/>
      </c>
      <c r="AF500" s="51" t="str">
        <f aca="false">IF(OR(A500="",AA500=""),"",IF(AND(A500&gt;=Dashboard!$G$4,A500&lt;=Dashboard!$I$4),AA500+ROW()/10^9,""))</f>
        <v/>
      </c>
      <c r="AG500" s="51" t="str">
        <f aca="false">IF(A500="","",WEEKDAY(A500,2))</f>
        <v/>
      </c>
    </row>
    <row r="501" customFormat="false" ht="15" hidden="false" customHeight="false" outlineLevel="0" collapsed="false">
      <c r="A501" s="43"/>
      <c r="B501" s="11" t="str">
        <f aca="false">IF(A501="","",TEXT(A501,"ddd"))</f>
        <v/>
      </c>
      <c r="C501" s="44"/>
      <c r="D501" s="16"/>
      <c r="E501" s="16"/>
      <c r="F501" s="16"/>
      <c r="G501" s="16"/>
      <c r="H501" s="45"/>
      <c r="I501" s="45"/>
      <c r="J501" s="11" t="str">
        <f aca="false">IF(I501="","",LEN(I501))</f>
        <v/>
      </c>
      <c r="K501" s="16"/>
      <c r="L501" s="16"/>
      <c r="M501" s="11" t="str">
        <f aca="false">IF(L501="","",IFERROR(INDEX('Hashtag Bank'!$E$5:$E$104,MATCH(L501,'Hashtag Bank'!$B$5:$B$104,0)),""))</f>
        <v/>
      </c>
      <c r="N501" s="16"/>
      <c r="O501" s="16"/>
      <c r="P501" s="16"/>
      <c r="Q501" s="46" t="str">
        <f aca="true">IF(A501&amp;H501="","",TRIM(IF(AND(A501&lt;&gt;"",A501&lt;TODAY(),O501&lt;&gt;"Published",O501&lt;&gt;"Repurpose"),"⚠ Overdue ","")&amp;IF(AND(J501&lt;&gt;"",D501&lt;&gt;"",IFERROR(J501&gt;INDEX(Setup!$E$9:$E$18,MATCH(D501,Setup!$B$9:$B$18,0)),FALSE())),"✂ Caption too long ","")&amp;IF(AND(M501&lt;&gt;"",D501&lt;&gt;"",IFERROR(M501&gt;INDEX(Setup!$F$9:$F$18,MATCH(D501,Setup!$B$9:$B$18,0)),FALSE())),"# Too many tags","")))</f>
        <v/>
      </c>
      <c r="R501" s="16"/>
      <c r="S501" s="19"/>
      <c r="T501" s="19"/>
      <c r="U501" s="19"/>
      <c r="V501" s="19"/>
      <c r="W501" s="19"/>
      <c r="X501" s="19"/>
      <c r="Y501" s="19"/>
      <c r="Z501" s="47" t="str">
        <f aca="false">IF(COUNT(U501:X501)=0,"",SUM(U501:X501))</f>
        <v/>
      </c>
      <c r="AA501" s="48" t="str">
        <f aca="false">IF(OR(Z501="",N(T501)=0),"",Z501/T501)</f>
        <v/>
      </c>
      <c r="AB501" s="45"/>
      <c r="AC501" s="51" t="str">
        <f aca="false">IF(A501="","",A501+N(C501)+ROW()/10^7)</f>
        <v/>
      </c>
      <c r="AD501" s="51" t="str">
        <f aca="false">IF(A501="","",TEXT(A501,"0")&amp;"|"&amp;COUNTIFS('Content Log'!$A$5:$A$504,A501,'Content Log'!$AC$5:$AC$504,"&lt;="&amp;AC501))</f>
        <v/>
      </c>
      <c r="AE501" s="51" t="str">
        <f aca="false">IF(A501="","",IFERROR(INDEX(Setup!$N$9:$N$14,MATCH(O501,Setup!$M$9:$M$14,0))&amp;" ","")&amp;IF(C501="","",TEXT(C501,"h:mm AM/PM")&amp;" ")&amp;D501&amp;IF(H501="",""," · "&amp;H501))</f>
        <v/>
      </c>
      <c r="AF501" s="51" t="str">
        <f aca="false">IF(OR(A501="",AA501=""),"",IF(AND(A501&gt;=Dashboard!$G$4,A501&lt;=Dashboard!$I$4),AA501+ROW()/10^9,""))</f>
        <v/>
      </c>
      <c r="AG501" s="51" t="str">
        <f aca="false">IF(A501="","",WEEKDAY(A501,2))</f>
        <v/>
      </c>
    </row>
    <row r="502" customFormat="false" ht="15" hidden="false" customHeight="false" outlineLevel="0" collapsed="false">
      <c r="A502" s="43"/>
      <c r="B502" s="11" t="str">
        <f aca="false">IF(A502="","",TEXT(A502,"ddd"))</f>
        <v/>
      </c>
      <c r="C502" s="44"/>
      <c r="D502" s="16"/>
      <c r="E502" s="16"/>
      <c r="F502" s="16"/>
      <c r="G502" s="16"/>
      <c r="H502" s="45"/>
      <c r="I502" s="45"/>
      <c r="J502" s="11" t="str">
        <f aca="false">IF(I502="","",LEN(I502))</f>
        <v/>
      </c>
      <c r="K502" s="16"/>
      <c r="L502" s="16"/>
      <c r="M502" s="11" t="str">
        <f aca="false">IF(L502="","",IFERROR(INDEX('Hashtag Bank'!$E$5:$E$104,MATCH(L502,'Hashtag Bank'!$B$5:$B$104,0)),""))</f>
        <v/>
      </c>
      <c r="N502" s="16"/>
      <c r="O502" s="16"/>
      <c r="P502" s="16"/>
      <c r="Q502" s="46" t="str">
        <f aca="true">IF(A502&amp;H502="","",TRIM(IF(AND(A502&lt;&gt;"",A502&lt;TODAY(),O502&lt;&gt;"Published",O502&lt;&gt;"Repurpose"),"⚠ Overdue ","")&amp;IF(AND(J502&lt;&gt;"",D502&lt;&gt;"",IFERROR(J502&gt;INDEX(Setup!$E$9:$E$18,MATCH(D502,Setup!$B$9:$B$18,0)),FALSE())),"✂ Caption too long ","")&amp;IF(AND(M502&lt;&gt;"",D502&lt;&gt;"",IFERROR(M502&gt;INDEX(Setup!$F$9:$F$18,MATCH(D502,Setup!$B$9:$B$18,0)),FALSE())),"# Too many tags","")))</f>
        <v/>
      </c>
      <c r="R502" s="16"/>
      <c r="S502" s="19"/>
      <c r="T502" s="19"/>
      <c r="U502" s="19"/>
      <c r="V502" s="19"/>
      <c r="W502" s="19"/>
      <c r="X502" s="19"/>
      <c r="Y502" s="19"/>
      <c r="Z502" s="47" t="str">
        <f aca="false">IF(COUNT(U502:X502)=0,"",SUM(U502:X502))</f>
        <v/>
      </c>
      <c r="AA502" s="48" t="str">
        <f aca="false">IF(OR(Z502="",N(T502)=0),"",Z502/T502)</f>
        <v/>
      </c>
      <c r="AB502" s="45"/>
      <c r="AC502" s="51" t="str">
        <f aca="false">IF(A502="","",A502+N(C502)+ROW()/10^7)</f>
        <v/>
      </c>
      <c r="AD502" s="51" t="str">
        <f aca="false">IF(A502="","",TEXT(A502,"0")&amp;"|"&amp;COUNTIFS('Content Log'!$A$5:$A$504,A502,'Content Log'!$AC$5:$AC$504,"&lt;="&amp;AC502))</f>
        <v/>
      </c>
      <c r="AE502" s="51" t="str">
        <f aca="false">IF(A502="","",IFERROR(INDEX(Setup!$N$9:$N$14,MATCH(O502,Setup!$M$9:$M$14,0))&amp;" ","")&amp;IF(C502="","",TEXT(C502,"h:mm AM/PM")&amp;" ")&amp;D502&amp;IF(H502="",""," · "&amp;H502))</f>
        <v/>
      </c>
      <c r="AF502" s="51" t="str">
        <f aca="false">IF(OR(A502="",AA502=""),"",IF(AND(A502&gt;=Dashboard!$G$4,A502&lt;=Dashboard!$I$4),AA502+ROW()/10^9,""))</f>
        <v/>
      </c>
      <c r="AG502" s="51" t="str">
        <f aca="false">IF(A502="","",WEEKDAY(A502,2))</f>
        <v/>
      </c>
    </row>
    <row r="503" customFormat="false" ht="15" hidden="false" customHeight="false" outlineLevel="0" collapsed="false">
      <c r="A503" s="43"/>
      <c r="B503" s="11" t="str">
        <f aca="false">IF(A503="","",TEXT(A503,"ddd"))</f>
        <v/>
      </c>
      <c r="C503" s="44"/>
      <c r="D503" s="16"/>
      <c r="E503" s="16"/>
      <c r="F503" s="16"/>
      <c r="G503" s="16"/>
      <c r="H503" s="45"/>
      <c r="I503" s="45"/>
      <c r="J503" s="11" t="str">
        <f aca="false">IF(I503="","",LEN(I503))</f>
        <v/>
      </c>
      <c r="K503" s="16"/>
      <c r="L503" s="16"/>
      <c r="M503" s="11" t="str">
        <f aca="false">IF(L503="","",IFERROR(INDEX('Hashtag Bank'!$E$5:$E$104,MATCH(L503,'Hashtag Bank'!$B$5:$B$104,0)),""))</f>
        <v/>
      </c>
      <c r="N503" s="16"/>
      <c r="O503" s="16"/>
      <c r="P503" s="16"/>
      <c r="Q503" s="46" t="str">
        <f aca="true">IF(A503&amp;H503="","",TRIM(IF(AND(A503&lt;&gt;"",A503&lt;TODAY(),O503&lt;&gt;"Published",O503&lt;&gt;"Repurpose"),"⚠ Overdue ","")&amp;IF(AND(J503&lt;&gt;"",D503&lt;&gt;"",IFERROR(J503&gt;INDEX(Setup!$E$9:$E$18,MATCH(D503,Setup!$B$9:$B$18,0)),FALSE())),"✂ Caption too long ","")&amp;IF(AND(M503&lt;&gt;"",D503&lt;&gt;"",IFERROR(M503&gt;INDEX(Setup!$F$9:$F$18,MATCH(D503,Setup!$B$9:$B$18,0)),FALSE())),"# Too many tags","")))</f>
        <v/>
      </c>
      <c r="R503" s="16"/>
      <c r="S503" s="19"/>
      <c r="T503" s="19"/>
      <c r="U503" s="19"/>
      <c r="V503" s="19"/>
      <c r="W503" s="19"/>
      <c r="X503" s="19"/>
      <c r="Y503" s="19"/>
      <c r="Z503" s="47" t="str">
        <f aca="false">IF(COUNT(U503:X503)=0,"",SUM(U503:X503))</f>
        <v/>
      </c>
      <c r="AA503" s="48" t="str">
        <f aca="false">IF(OR(Z503="",N(T503)=0),"",Z503/T503)</f>
        <v/>
      </c>
      <c r="AB503" s="45"/>
      <c r="AC503" s="51" t="str">
        <f aca="false">IF(A503="","",A503+N(C503)+ROW()/10^7)</f>
        <v/>
      </c>
      <c r="AD503" s="51" t="str">
        <f aca="false">IF(A503="","",TEXT(A503,"0")&amp;"|"&amp;COUNTIFS('Content Log'!$A$5:$A$504,A503,'Content Log'!$AC$5:$AC$504,"&lt;="&amp;AC503))</f>
        <v/>
      </c>
      <c r="AE503" s="51" t="str">
        <f aca="false">IF(A503="","",IFERROR(INDEX(Setup!$N$9:$N$14,MATCH(O503,Setup!$M$9:$M$14,0))&amp;" ","")&amp;IF(C503="","",TEXT(C503,"h:mm AM/PM")&amp;" ")&amp;D503&amp;IF(H503="",""," · "&amp;H503))</f>
        <v/>
      </c>
      <c r="AF503" s="51" t="str">
        <f aca="false">IF(OR(A503="",AA503=""),"",IF(AND(A503&gt;=Dashboard!$G$4,A503&lt;=Dashboard!$I$4),AA503+ROW()/10^9,""))</f>
        <v/>
      </c>
      <c r="AG503" s="51" t="str">
        <f aca="false">IF(A503="","",WEEKDAY(A503,2))</f>
        <v/>
      </c>
    </row>
    <row r="504" customFormat="false" ht="15" hidden="false" customHeight="false" outlineLevel="0" collapsed="false">
      <c r="A504" s="43"/>
      <c r="B504" s="11" t="str">
        <f aca="false">IF(A504="","",TEXT(A504,"ddd"))</f>
        <v/>
      </c>
      <c r="C504" s="44"/>
      <c r="D504" s="16"/>
      <c r="E504" s="16"/>
      <c r="F504" s="16"/>
      <c r="G504" s="16"/>
      <c r="H504" s="45"/>
      <c r="I504" s="45"/>
      <c r="J504" s="11" t="str">
        <f aca="false">IF(I504="","",LEN(I504))</f>
        <v/>
      </c>
      <c r="K504" s="16"/>
      <c r="L504" s="16"/>
      <c r="M504" s="11" t="str">
        <f aca="false">IF(L504="","",IFERROR(INDEX('Hashtag Bank'!$E$5:$E$104,MATCH(L504,'Hashtag Bank'!$B$5:$B$104,0)),""))</f>
        <v/>
      </c>
      <c r="N504" s="16"/>
      <c r="O504" s="16"/>
      <c r="P504" s="16"/>
      <c r="Q504" s="46" t="str">
        <f aca="true">IF(A504&amp;H504="","",TRIM(IF(AND(A504&lt;&gt;"",A504&lt;TODAY(),O504&lt;&gt;"Published",O504&lt;&gt;"Repurpose"),"⚠ Overdue ","")&amp;IF(AND(J504&lt;&gt;"",D504&lt;&gt;"",IFERROR(J504&gt;INDEX(Setup!$E$9:$E$18,MATCH(D504,Setup!$B$9:$B$18,0)),FALSE())),"✂ Caption too long ","")&amp;IF(AND(M504&lt;&gt;"",D504&lt;&gt;"",IFERROR(M504&gt;INDEX(Setup!$F$9:$F$18,MATCH(D504,Setup!$B$9:$B$18,0)),FALSE())),"# Too many tags","")))</f>
        <v/>
      </c>
      <c r="R504" s="16"/>
      <c r="S504" s="19"/>
      <c r="T504" s="19"/>
      <c r="U504" s="19"/>
      <c r="V504" s="19"/>
      <c r="W504" s="19"/>
      <c r="X504" s="19"/>
      <c r="Y504" s="19"/>
      <c r="Z504" s="47" t="str">
        <f aca="false">IF(COUNT(U504:X504)=0,"",SUM(U504:X504))</f>
        <v/>
      </c>
      <c r="AA504" s="48" t="str">
        <f aca="false">IF(OR(Z504="",N(T504)=0),"",Z504/T504)</f>
        <v/>
      </c>
      <c r="AB504" s="45"/>
      <c r="AC504" s="51" t="str">
        <f aca="false">IF(A504="","",A504+N(C504)+ROW()/10^7)</f>
        <v/>
      </c>
      <c r="AD504" s="51" t="str">
        <f aca="false">IF(A504="","",TEXT(A504,"0")&amp;"|"&amp;COUNTIFS('Content Log'!$A$5:$A$504,A504,'Content Log'!$AC$5:$AC$504,"&lt;="&amp;AC504))</f>
        <v/>
      </c>
      <c r="AE504" s="51" t="str">
        <f aca="false">IF(A504="","",IFERROR(INDEX(Setup!$N$9:$N$14,MATCH(O504,Setup!$M$9:$M$14,0))&amp;" ","")&amp;IF(C504="","",TEXT(C504,"h:mm AM/PM")&amp;" ")&amp;D504&amp;IF(H504="",""," · "&amp;H504))</f>
        <v/>
      </c>
      <c r="AF504" s="51" t="str">
        <f aca="false">IF(OR(A504="",AA504=""),"",IF(AND(A504&gt;=Dashboard!$G$4,A504&lt;=Dashboard!$I$4),AA504+ROW()/10^9,""))</f>
        <v/>
      </c>
      <c r="AG504" s="51" t="str">
        <f aca="false">IF(A504="","",WEEKDAY(A504,2))</f>
        <v/>
      </c>
    </row>
  </sheetData>
  <autoFilter ref="A4:AB504"/>
  <conditionalFormatting sqref="O5:O504">
    <cfRule type="cellIs" priority="2" operator="equal" aboveAverage="0" equalAverage="0" bottom="0" percent="0" rank="0" text="" dxfId="21">
      <formula>"Idea"</formula>
    </cfRule>
    <cfRule type="cellIs" priority="3" operator="equal" aboveAverage="0" equalAverage="0" bottom="0" percent="0" rank="0" text="" dxfId="22">
      <formula>"Drafting"</formula>
    </cfRule>
    <cfRule type="cellIs" priority="4" operator="equal" aboveAverage="0" equalAverage="0" bottom="0" percent="0" rank="0" text="" dxfId="23">
      <formula>"In Review"</formula>
    </cfRule>
    <cfRule type="cellIs" priority="5" operator="equal" aboveAverage="0" equalAverage="0" bottom="0" percent="0" rank="0" text="" dxfId="24">
      <formula>"Scheduled"</formula>
    </cfRule>
    <cfRule type="cellIs" priority="6" operator="equal" aboveAverage="0" equalAverage="0" bottom="0" percent="0" rank="0" text="" dxfId="25">
      <formula>"Published"</formula>
    </cfRule>
    <cfRule type="cellIs" priority="7" operator="equal" aboveAverage="0" equalAverage="0" bottom="0" percent="0" rank="0" text="" dxfId="26">
      <formula>"Repurpose"</formula>
    </cfRule>
  </conditionalFormatting>
  <conditionalFormatting sqref="Q5:Q504">
    <cfRule type="expression" priority="8" aboveAverage="0" equalAverage="0" bottom="0" percent="0" rank="0" text="" dxfId="27">
      <formula>Q5&lt;&gt;""</formula>
    </cfRule>
  </conditionalFormatting>
  <conditionalFormatting sqref="AA5:AA504">
    <cfRule type="colorScale" priority="9">
      <colorScale>
        <cfvo type="min" val="0"/>
        <cfvo type="max" val="0"/>
        <color rgb="FFFFFFFF"/>
        <color rgb="FF9CC5A6"/>
      </colorScale>
    </cfRule>
  </conditionalFormatting>
  <conditionalFormatting sqref="A5:A504">
    <cfRule type="expression" priority="10" aboveAverage="0" equalAverage="0" bottom="0" percent="0" rank="0" text="" dxfId="28">
      <formula>A5=TODAY()</formula>
    </cfRule>
  </conditionalFormatting>
  <dataValidations count="7">
    <dataValidation allowBlank="true" error="Pick a value from the list (edit the list on the Setup tab)." errorStyle="warning" errorTitle="Not in list" operator="between" showDropDown="false" showErrorMessage="false" showInputMessage="false" sqref="D5:D504" type="list">
      <formula1>Setup!$B$9:$B$18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E5:E504" type="list">
      <formula1>Setup!$K$9:$K$22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F5:F504" type="list">
      <formula1>Setup!$G$9:$G$16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O5:O504" type="list">
      <formula1>Setup!$M$9:$M$14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P5:P504" type="list">
      <formula1>Setup!$P$9:$P$16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L5:L504" type="list">
      <formula1>'Hashtag Bank'!$B$5:$B$104</formula1>
      <formula2>0</formula2>
    </dataValidation>
    <dataValidation allowBlank="true" error="Enter a date, e.g. 10/14/2026" errorStyle="warning" errorTitle="Date" operator="greaterThan" showDropDown="false" showErrorMessage="false" showInputMessage="false" sqref="A5:A504" type="date">
      <formula1>36526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7E"/>
    <pageSetUpPr fitToPage="true"/>
  </sheetPr>
  <dimension ref="A1:K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27"/>
    <col collapsed="false" customWidth="true" hidden="false" outlineLevel="0" max="9" min="9" style="0" width="3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33.75" hidden="false" customHeight="true" outlineLevel="0" collapsed="false">
      <c r="B1" s="1" t="s">
        <v>230</v>
      </c>
    </row>
    <row r="2" customFormat="false" ht="19.5" hidden="false" customHeight="true" outlineLevel="0" collapsed="false">
      <c r="A2" s="2"/>
      <c r="B2" s="3" t="s">
        <v>231</v>
      </c>
      <c r="C2" s="2"/>
      <c r="D2" s="2"/>
      <c r="E2" s="2"/>
      <c r="F2" s="2"/>
      <c r="G2" s="2"/>
      <c r="H2" s="2"/>
    </row>
    <row r="4" customFormat="false" ht="24" hidden="false" customHeight="true" outlineLevel="0" collapsed="false">
      <c r="B4" s="53" t="s">
        <v>232</v>
      </c>
      <c r="C4" s="54" t="s">
        <v>116</v>
      </c>
      <c r="D4" s="53" t="s">
        <v>233</v>
      </c>
      <c r="E4" s="55" t="n">
        <v>2026</v>
      </c>
      <c r="J4" s="56" t="s">
        <v>234</v>
      </c>
      <c r="K4" s="57" t="n">
        <f aca="false">MATCH(C4,Setup!$R$9:$R$20,0)</f>
        <v>10</v>
      </c>
    </row>
    <row r="5" customFormat="false" ht="21.75" hidden="false" customHeight="true" outlineLevel="0" collapsed="false">
      <c r="B5" s="58" t="str">
        <f aca="true">"📅 "&amp;COUNTIFS('Content Log'!$A$5:$A$504,"&gt;="&amp;$K$5,'Content Log'!$A$5:$A$504,"&lt;="&amp;$K$7)&amp;" posts planned     ✅ "&amp;COUNTIFS('Content Log'!$A$5:$A$504,"&gt;="&amp;$K$5,'Content Log'!$A$5:$A$504,"&lt;="&amp;$K$7,'Content Log'!$O$5:$O$504,"Published")&amp;" published     🕒 "&amp;COUNTIFS('Content Log'!$A$5:$A$504,"&gt;="&amp;$K$5,'Content Log'!$A$5:$A$504,"&lt;="&amp;$K$7,'Content Log'!$O$5:$O$504,"Scheduled")&amp;" scheduled     ⚠ "&amp;COUNTIFS('Content Log'!$A$5:$A$504,"&gt;="&amp;$K$5,'Content Log'!$A$5:$A$504,"&lt;="&amp;$K$7,'Content Log'!$A$5:$A$504,"&lt;"&amp;TODAY(),'Content Log'!$O$5:$O$504,"&lt;&gt;Published",'Content Log'!$O$5:$O$504,"&lt;&gt;Repurpose")&amp;" overdue"</f>
        <v>📅 20 posts planned     ✅ 4 published     🕒 5 scheduled     ⚠ 1 overdue</v>
      </c>
      <c r="C5" s="58"/>
      <c r="D5" s="58"/>
      <c r="E5" s="58"/>
      <c r="F5" s="58"/>
      <c r="G5" s="58"/>
      <c r="H5" s="58"/>
      <c r="J5" s="56" t="s">
        <v>235</v>
      </c>
      <c r="K5" s="59" t="n">
        <f aca="false">DATE(E4,K4,1)</f>
        <v>46296</v>
      </c>
    </row>
    <row r="6" customFormat="false" ht="15" hidden="false" customHeight="false" outlineLevel="0" collapsed="false">
      <c r="J6" s="56" t="s">
        <v>236</v>
      </c>
      <c r="K6" s="59" t="n">
        <f aca="false">K5-MOD(WEEKDAY(K5)-IF(Setup!$C$5="Monday",2,1),7)</f>
        <v>46292</v>
      </c>
    </row>
    <row r="7" customFormat="false" ht="24" hidden="false" customHeight="true" outlineLevel="0" collapsed="false">
      <c r="B7" s="17" t="str">
        <f aca="false">TEXT($K$6+0,"dddd")</f>
        <v>Sunday</v>
      </c>
      <c r="C7" s="17" t="str">
        <f aca="false">TEXT($K$6+1,"dddd")</f>
        <v>Monday</v>
      </c>
      <c r="D7" s="17" t="str">
        <f aca="false">TEXT($K$6+2,"dddd")</f>
        <v>Tuesday</v>
      </c>
      <c r="E7" s="17" t="str">
        <f aca="false">TEXT($K$6+3,"dddd")</f>
        <v>Wednesday</v>
      </c>
      <c r="F7" s="17" t="str">
        <f aca="false">TEXT($K$6+4,"dddd")</f>
        <v>Thursday</v>
      </c>
      <c r="G7" s="17" t="str">
        <f aca="false">TEXT($K$6+5,"dddd")</f>
        <v>Friday</v>
      </c>
      <c r="H7" s="17" t="str">
        <f aca="false">TEXT($K$6+6,"dddd")</f>
        <v>Saturday</v>
      </c>
      <c r="J7" s="56" t="s">
        <v>237</v>
      </c>
      <c r="K7" s="59" t="n">
        <f aca="false">EOMONTH(K5,0)</f>
        <v>46326</v>
      </c>
    </row>
    <row r="8" customFormat="false" ht="19.5" hidden="false" customHeight="true" outlineLevel="0" collapsed="false">
      <c r="B8" s="60" t="n">
        <f aca="false">$K$6+0</f>
        <v>46292</v>
      </c>
      <c r="C8" s="60" t="n">
        <f aca="false">$K$6+1</f>
        <v>46293</v>
      </c>
      <c r="D8" s="60" t="n">
        <f aca="false">$K$6+2</f>
        <v>46294</v>
      </c>
      <c r="E8" s="60" t="n">
        <f aca="false">$K$6+3</f>
        <v>46295</v>
      </c>
      <c r="F8" s="60" t="n">
        <f aca="false">$K$6+4</f>
        <v>46296</v>
      </c>
      <c r="G8" s="60" t="n">
        <f aca="false">$K$6+5</f>
        <v>46297</v>
      </c>
      <c r="H8" s="60" t="n">
        <f aca="false">$K$6+6</f>
        <v>46298</v>
      </c>
    </row>
    <row r="9" customFormat="false" ht="30" hidden="false" customHeight="true" outlineLevel="0" collapsed="false">
      <c r="B9" s="61" t="str">
        <f aca="false">IFERROR(INDEX('Content Log'!$AE$5:$AE$504,MATCH(TEXT(B$8,"0")&amp;"|1",'Content Log'!$AD$5:$AD$504,0)),"")</f>
        <v/>
      </c>
      <c r="C9" s="61" t="str">
        <f aca="false">IFERROR(INDEX('Content Log'!$AE$5:$AE$504,MATCH(TEXT(C$8,"0")&amp;"|1",'Content Log'!$AD$5:$AD$504,0)),"")</f>
        <v/>
      </c>
      <c r="D9" s="61" t="str">
        <f aca="false">IFERROR(INDEX('Content Log'!$AE$5:$AE$504,MATCH(TEXT(D$8,"0")&amp;"|1",'Content Log'!$AD$5:$AD$504,0)),"")</f>
        <v>✅ 10:00 AM Pinterest · Content calendar template</v>
      </c>
      <c r="E9" s="61" t="str">
        <f aca="false">IFERROR(INDEX('Content Log'!$AE$5:$AE$504,MATCH(TEXT(E$8,"0")&amp;"|1",'Content Log'!$AD$5:$AD$504,0)),"")</f>
        <v/>
      </c>
      <c r="F9" s="61" t="str">
        <f aca="false">IFERROR(INDEX('Content Log'!$AE$5:$AE$504,MATCH(TEXT(F$8,"0")&amp;"|1",'Content Log'!$AD$5:$AD$504,0)),"")</f>
        <v>✅ 9:00 AM Instagram · Sneak peek: something new</v>
      </c>
      <c r="G9" s="61" t="str">
        <f aca="false">IFERROR(INDEX('Content Log'!$AE$5:$AE$504,MATCH(TEXT(G$8,"0")&amp;"|1",'Content Log'!$AD$5:$AD$504,0)),"")</f>
        <v>✏️ 11:00 AM Facebook · Customer spotlight: Maya</v>
      </c>
      <c r="H9" s="61" t="str">
        <f aca="false">IFERROR(INDEX('Content Log'!$AE$5:$AE$504,MATCH(TEXT(H$8,"0")&amp;"|1",'Content Log'!$AD$5:$AD$504,0)),"")</f>
        <v>✅ 2:00 PM YouTube · How I batch 30 posts in a day</v>
      </c>
    </row>
    <row r="10" customFormat="false" ht="30" hidden="false" customHeight="true" outlineLevel="0" collapsed="false">
      <c r="B10" s="61" t="str">
        <f aca="false">IFERROR(INDEX('Content Log'!$AE$5:$AE$504,MATCH(TEXT(B$8,"0")&amp;"|2",'Content Log'!$AD$5:$AD$504,0)),"")</f>
        <v/>
      </c>
      <c r="C10" s="61" t="str">
        <f aca="false">IFERROR(INDEX('Content Log'!$AE$5:$AE$504,MATCH(TEXT(C$8,"0")&amp;"|2",'Content Log'!$AD$5:$AD$504,0)),"")</f>
        <v/>
      </c>
      <c r="D10" s="61" t="str">
        <f aca="false">IFERROR(INDEX('Content Log'!$AE$5:$AE$504,MATCH(TEXT(D$8,"0")&amp;"|2",'Content Log'!$AD$5:$AD$504,0)),"")</f>
        <v/>
      </c>
      <c r="E10" s="61" t="str">
        <f aca="false">IFERROR(INDEX('Content Log'!$AE$5:$AE$504,MATCH(TEXT(E$8,"0")&amp;"|2",'Content Log'!$AD$5:$AD$504,0)),"")</f>
        <v/>
      </c>
      <c r="F10" s="61" t="str">
        <f aca="false">IFERROR(INDEX('Content Log'!$AE$5:$AE$504,MATCH(TEXT(F$8,"0")&amp;"|2",'Content Log'!$AD$5:$AD$504,0)),"")</f>
        <v>✅ 5:00 PM Threads · Ask me anything Friday</v>
      </c>
      <c r="G10" s="61" t="str">
        <f aca="false">IFERROR(INDEX('Content Log'!$AE$5:$AE$504,MATCH(TEXT(G$8,"0")&amp;"|2",'Content Log'!$AD$5:$AD$504,0)),"")</f>
        <v/>
      </c>
      <c r="H10" s="61" t="str">
        <f aca="false">IFERROR(INDEX('Content Log'!$AE$5:$AE$504,MATCH(TEXT(H$8,"0")&amp;"|2",'Content Log'!$AD$5:$AD$504,0)),"")</f>
        <v>✅ 7:00 PM TikTok · Trend: 'tell me without telling me'</v>
      </c>
    </row>
    <row r="11" customFormat="false" ht="30" hidden="false" customHeight="true" outlineLevel="0" collapsed="false">
      <c r="B11" s="61" t="str">
        <f aca="false">IFERROR(INDEX('Content Log'!$AE$5:$AE$504,MATCH(TEXT(B$8,"0")&amp;"|3",'Content Log'!$AD$5:$AD$504,0)),"")</f>
        <v/>
      </c>
      <c r="C11" s="61" t="str">
        <f aca="false">IFERROR(INDEX('Content Log'!$AE$5:$AE$504,MATCH(TEXT(C$8,"0")&amp;"|3",'Content Log'!$AD$5:$AD$504,0)),"")</f>
        <v/>
      </c>
      <c r="D11" s="61" t="str">
        <f aca="false">IFERROR(INDEX('Content Log'!$AE$5:$AE$504,MATCH(TEXT(D$8,"0")&amp;"|3",'Content Log'!$AD$5:$AD$504,0)),"")</f>
        <v/>
      </c>
      <c r="E11" s="61" t="str">
        <f aca="false">IFERROR(INDEX('Content Log'!$AE$5:$AE$504,MATCH(TEXT(E$8,"0")&amp;"|3",'Content Log'!$AD$5:$AD$504,0)),"")</f>
        <v/>
      </c>
      <c r="F11" s="61" t="str">
        <f aca="false">IFERROR(INDEX('Content Log'!$AE$5:$AE$504,MATCH(TEXT(F$8,"0")&amp;"|3",'Content Log'!$AD$5:$AD$504,0)),"")</f>
        <v/>
      </c>
      <c r="G11" s="61" t="str">
        <f aca="false">IFERROR(INDEX('Content Log'!$AE$5:$AE$504,MATCH(TEXT(G$8,"0")&amp;"|3",'Content Log'!$AD$5:$AD$504,0)),"")</f>
        <v/>
      </c>
      <c r="H11" s="61" t="str">
        <f aca="false">IFERROR(INDEX('Content Log'!$AE$5:$AE$504,MATCH(TEXT(H$8,"0")&amp;"|3",'Content Log'!$AD$5:$AD$504,0)),"")</f>
        <v/>
      </c>
    </row>
    <row r="12" customFormat="false" ht="13.5" hidden="false" customHeight="true" outlineLevel="0" collapsed="false">
      <c r="B12" s="62" t="str">
        <f aca="false">IF(COUNTIF('Content Log'!$A$5:$A$504,B8)&gt;3,"+"&amp;(COUNTIF('Content Log'!$A$5:$A$504,B8)-3)&amp;" more → see Weekly View","")</f>
        <v/>
      </c>
      <c r="C12" s="62" t="str">
        <f aca="false">IF(COUNTIF('Content Log'!$A$5:$A$504,C8)&gt;3,"+"&amp;(COUNTIF('Content Log'!$A$5:$A$504,C8)-3)&amp;" more → see Weekly View","")</f>
        <v/>
      </c>
      <c r="D12" s="62" t="str">
        <f aca="false">IF(COUNTIF('Content Log'!$A$5:$A$504,D8)&gt;3,"+"&amp;(COUNTIF('Content Log'!$A$5:$A$504,D8)-3)&amp;" more → see Weekly View","")</f>
        <v/>
      </c>
      <c r="E12" s="62" t="str">
        <f aca="false">IF(COUNTIF('Content Log'!$A$5:$A$504,E8)&gt;3,"+"&amp;(COUNTIF('Content Log'!$A$5:$A$504,E8)-3)&amp;" more → see Weekly View","")</f>
        <v/>
      </c>
      <c r="F12" s="62" t="str">
        <f aca="false">IF(COUNTIF('Content Log'!$A$5:$A$504,F8)&gt;3,"+"&amp;(COUNTIF('Content Log'!$A$5:$A$504,F8)-3)&amp;" more → see Weekly View","")</f>
        <v/>
      </c>
      <c r="G12" s="62" t="str">
        <f aca="false">IF(COUNTIF('Content Log'!$A$5:$A$504,G8)&gt;3,"+"&amp;(COUNTIF('Content Log'!$A$5:$A$504,G8)-3)&amp;" more → see Weekly View","")</f>
        <v/>
      </c>
      <c r="H12" s="62" t="str">
        <f aca="false">IF(COUNTIF('Content Log'!$A$5:$A$504,H8)&gt;3,"+"&amp;(COUNTIF('Content Log'!$A$5:$A$504,H8)-3)&amp;" more → see Weekly View","")</f>
        <v/>
      </c>
    </row>
    <row r="13" customFormat="false" ht="19.5" hidden="false" customHeight="true" outlineLevel="0" collapsed="false">
      <c r="B13" s="60" t="n">
        <f aca="false">$K$6+7</f>
        <v>46299</v>
      </c>
      <c r="C13" s="60" t="n">
        <f aca="false">$K$6+8</f>
        <v>46300</v>
      </c>
      <c r="D13" s="60" t="n">
        <f aca="false">$K$6+9</f>
        <v>46301</v>
      </c>
      <c r="E13" s="60" t="n">
        <f aca="false">$K$6+10</f>
        <v>46302</v>
      </c>
      <c r="F13" s="60" t="n">
        <f aca="false">$K$6+11</f>
        <v>46303</v>
      </c>
      <c r="G13" s="60" t="n">
        <f aca="false">$K$6+12</f>
        <v>46304</v>
      </c>
      <c r="H13" s="60" t="n">
        <f aca="false">$K$6+13</f>
        <v>46305</v>
      </c>
    </row>
    <row r="14" customFormat="false" ht="30" hidden="false" customHeight="true" outlineLevel="0" collapsed="false">
      <c r="B14" s="61" t="str">
        <f aca="false">IFERROR(INDEX('Content Log'!$AE$5:$AE$504,MATCH(TEXT(B$13,"0")&amp;"|1",'Content Log'!$AD$5:$AD$504,0)),"")</f>
        <v/>
      </c>
      <c r="C14" s="61" t="str">
        <f aca="false">IFERROR(INDEX('Content Log'!$AE$5:$AE$504,MATCH(TEXT(C$13,"0")&amp;"|1",'Content Log'!$AD$5:$AD$504,0)),"")</f>
        <v>🕒 9:00 AM Instagram · Poll: which colourway?</v>
      </c>
      <c r="D14" s="61" t="str">
        <f aca="false">IFERROR(INDEX('Content Log'!$AE$5:$AE$504,MATCH(TEXT(D$13,"0")&amp;"|1",'Content Log'!$AD$5:$AD$504,0)),"")</f>
        <v>🕒 12:00 PM LinkedIn · The 4-pillar content framework</v>
      </c>
      <c r="E14" s="61" t="str">
        <f aca="false">IFERROR(INDEX('Content Log'!$AE$5:$AE$504,MATCH(TEXT(E$13,"0")&amp;"|1",'Content Log'!$AD$5:$AD$504,0)),"")</f>
        <v>👀 6:30 PM X / Twitter · Thread: my posting workflow</v>
      </c>
      <c r="F14" s="61" t="str">
        <f aca="false">IFERROR(INDEX('Content Log'!$AE$5:$AE$504,MATCH(TEXT(F$13,"0")&amp;"|1",'Content Log'!$AD$5:$AD$504,0)),"")</f>
        <v>🕒 10:00 AM Pinterest · Cozy fall desk setup</v>
      </c>
      <c r="G14" s="61" t="str">
        <f aca="false">IFERROR(INDEX('Content Log'!$AE$5:$AE$504,MATCH(TEXT(G$13,"0")&amp;"|1",'Content Log'!$AD$5:$AD$504,0)),"")</f>
        <v>✏️ 5:00 PM Instagram · Day in the life of a planner shop</v>
      </c>
      <c r="H14" s="61" t="str">
        <f aca="false">IFERROR(INDEX('Content Log'!$AE$5:$AE$504,MATCH(TEXT(H$13,"0")&amp;"|1",'Content Log'!$AD$5:$AD$504,0)),"")</f>
        <v/>
      </c>
    </row>
    <row r="15" customFormat="false" ht="30" hidden="false" customHeight="true" outlineLevel="0" collapsed="false">
      <c r="B15" s="61" t="str">
        <f aca="false">IFERROR(INDEX('Content Log'!$AE$5:$AE$504,MATCH(TEXT(B$13,"0")&amp;"|2",'Content Log'!$AD$5:$AD$504,0)),"")</f>
        <v/>
      </c>
      <c r="C15" s="61" t="str">
        <f aca="false">IFERROR(INDEX('Content Log'!$AE$5:$AE$504,MATCH(TEXT(C$13,"0")&amp;"|2",'Content Log'!$AD$5:$AD$504,0)),"")</f>
        <v/>
      </c>
      <c r="D15" s="61" t="str">
        <f aca="false">IFERROR(INDEX('Content Log'!$AE$5:$AE$504,MATCH(TEXT(D$13,"0")&amp;"|2",'Content Log'!$AD$5:$AD$504,0)),"")</f>
        <v/>
      </c>
      <c r="E15" s="61" t="str">
        <f aca="false">IFERROR(INDEX('Content Log'!$AE$5:$AE$504,MATCH(TEXT(E$13,"0")&amp;"|2",'Content Log'!$AD$5:$AD$504,0)),"")</f>
        <v/>
      </c>
      <c r="F15" s="61" t="str">
        <f aca="false">IFERROR(INDEX('Content Log'!$AE$5:$AE$504,MATCH(TEXT(F$13,"0")&amp;"|2",'Content Log'!$AD$5:$AD$504,0)),"")</f>
        <v/>
      </c>
      <c r="G15" s="61" t="str">
        <f aca="false">IFERROR(INDEX('Content Log'!$AE$5:$AE$504,MATCH(TEXT(G$13,"0")&amp;"|2",'Content Log'!$AD$5:$AD$504,0)),"")</f>
        <v/>
      </c>
      <c r="H15" s="61" t="str">
        <f aca="false">IFERROR(INDEX('Content Log'!$AE$5:$AE$504,MATCH(TEXT(H$13,"0")&amp;"|2",'Content Log'!$AD$5:$AD$504,0)),"")</f>
        <v/>
      </c>
    </row>
    <row r="16" customFormat="false" ht="30" hidden="false" customHeight="true" outlineLevel="0" collapsed="false">
      <c r="B16" s="61" t="str">
        <f aca="false">IFERROR(INDEX('Content Log'!$AE$5:$AE$504,MATCH(TEXT(B$13,"0")&amp;"|3",'Content Log'!$AD$5:$AD$504,0)),"")</f>
        <v/>
      </c>
      <c r="C16" s="61" t="str">
        <f aca="false">IFERROR(INDEX('Content Log'!$AE$5:$AE$504,MATCH(TEXT(C$13,"0")&amp;"|3",'Content Log'!$AD$5:$AD$504,0)),"")</f>
        <v/>
      </c>
      <c r="D16" s="61" t="str">
        <f aca="false">IFERROR(INDEX('Content Log'!$AE$5:$AE$504,MATCH(TEXT(D$13,"0")&amp;"|3",'Content Log'!$AD$5:$AD$504,0)),"")</f>
        <v/>
      </c>
      <c r="E16" s="61" t="str">
        <f aca="false">IFERROR(INDEX('Content Log'!$AE$5:$AE$504,MATCH(TEXT(E$13,"0")&amp;"|3",'Content Log'!$AD$5:$AD$504,0)),"")</f>
        <v/>
      </c>
      <c r="F16" s="61" t="str">
        <f aca="false">IFERROR(INDEX('Content Log'!$AE$5:$AE$504,MATCH(TEXT(F$13,"0")&amp;"|3",'Content Log'!$AD$5:$AD$504,0)),"")</f>
        <v/>
      </c>
      <c r="G16" s="61" t="str">
        <f aca="false">IFERROR(INDEX('Content Log'!$AE$5:$AE$504,MATCH(TEXT(G$13,"0")&amp;"|3",'Content Log'!$AD$5:$AD$504,0)),"")</f>
        <v/>
      </c>
      <c r="H16" s="61" t="str">
        <f aca="false">IFERROR(INDEX('Content Log'!$AE$5:$AE$504,MATCH(TEXT(H$13,"0")&amp;"|3",'Content Log'!$AD$5:$AD$504,0)),"")</f>
        <v/>
      </c>
    </row>
    <row r="17" customFormat="false" ht="13.5" hidden="false" customHeight="true" outlineLevel="0" collapsed="false">
      <c r="B17" s="62" t="str">
        <f aca="false">IF(COUNTIF('Content Log'!$A$5:$A$504,B13)&gt;3,"+"&amp;(COUNTIF('Content Log'!$A$5:$A$504,B13)-3)&amp;" more → see Weekly View","")</f>
        <v/>
      </c>
      <c r="C17" s="62" t="str">
        <f aca="false">IF(COUNTIF('Content Log'!$A$5:$A$504,C13)&gt;3,"+"&amp;(COUNTIF('Content Log'!$A$5:$A$504,C13)-3)&amp;" more → see Weekly View","")</f>
        <v/>
      </c>
      <c r="D17" s="62" t="str">
        <f aca="false">IF(COUNTIF('Content Log'!$A$5:$A$504,D13)&gt;3,"+"&amp;(COUNTIF('Content Log'!$A$5:$A$504,D13)-3)&amp;" more → see Weekly View","")</f>
        <v/>
      </c>
      <c r="E17" s="62" t="str">
        <f aca="false">IF(COUNTIF('Content Log'!$A$5:$A$504,E13)&gt;3,"+"&amp;(COUNTIF('Content Log'!$A$5:$A$504,E13)-3)&amp;" more → see Weekly View","")</f>
        <v/>
      </c>
      <c r="F17" s="62" t="str">
        <f aca="false">IF(COUNTIF('Content Log'!$A$5:$A$504,F13)&gt;3,"+"&amp;(COUNTIF('Content Log'!$A$5:$A$504,F13)-3)&amp;" more → see Weekly View","")</f>
        <v/>
      </c>
      <c r="G17" s="62" t="str">
        <f aca="false">IF(COUNTIF('Content Log'!$A$5:$A$504,G13)&gt;3,"+"&amp;(COUNTIF('Content Log'!$A$5:$A$504,G13)-3)&amp;" more → see Weekly View","")</f>
        <v/>
      </c>
      <c r="H17" s="62" t="str">
        <f aca="false">IF(COUNTIF('Content Log'!$A$5:$A$504,H13)&gt;3,"+"&amp;(COUNTIF('Content Log'!$A$5:$A$504,H13)-3)&amp;" more → see Weekly View","")</f>
        <v/>
      </c>
    </row>
    <row r="18" customFormat="false" ht="19.5" hidden="false" customHeight="true" outlineLevel="0" collapsed="false">
      <c r="B18" s="60" t="n">
        <f aca="false">$K$6+14</f>
        <v>46306</v>
      </c>
      <c r="C18" s="60" t="n">
        <f aca="false">$K$6+15</f>
        <v>46307</v>
      </c>
      <c r="D18" s="60" t="n">
        <f aca="false">$K$6+16</f>
        <v>46308</v>
      </c>
      <c r="E18" s="60" t="n">
        <f aca="false">$K$6+17</f>
        <v>46309</v>
      </c>
      <c r="F18" s="60" t="n">
        <f aca="false">$K$6+18</f>
        <v>46310</v>
      </c>
      <c r="G18" s="60" t="n">
        <f aca="false">$K$6+19</f>
        <v>46311</v>
      </c>
      <c r="H18" s="60" t="n">
        <f aca="false">$K$6+20</f>
        <v>46312</v>
      </c>
    </row>
    <row r="19" customFormat="false" ht="30" hidden="false" customHeight="true" outlineLevel="0" collapsed="false">
      <c r="B19" s="61" t="str">
        <f aca="false">IFERROR(INDEX('Content Log'!$AE$5:$AE$504,MATCH(TEXT(B$18,"0")&amp;"|1",'Content Log'!$AD$5:$AD$504,0)),"")</f>
        <v/>
      </c>
      <c r="C19" s="61" t="str">
        <f aca="false">IFERROR(INDEX('Content Log'!$AE$5:$AE$504,MATCH(TEXT(C$18,"0")&amp;"|1",'Content Log'!$AD$5:$AD$504,0)),"")</f>
        <v>✏️ 9:00 AM Instagram · How to plan Q4 content</v>
      </c>
      <c r="D19" s="61" t="str">
        <f aca="false">IFERROR(INDEX('Content Log'!$AE$5:$AE$504,MATCH(TEXT(D$18,"0")&amp;"|1",'Content Log'!$AD$5:$AD$504,0)),"")</f>
        <v>💡 12:00 PM TikTok · Countdown: 2 days</v>
      </c>
      <c r="E19" s="61" t="str">
        <f aca="false">IFERROR(INDEX('Content Log'!$AE$5:$AE$504,MATCH(TEXT(E$18,"0")&amp;"|1",'Content Log'!$AD$5:$AD$504,0)),"")</f>
        <v/>
      </c>
      <c r="F19" s="61" t="str">
        <f aca="false">IFERROR(INDEX('Content Log'!$AE$5:$AE$504,MATCH(TEXT(F$18,"0")&amp;"|1",'Content Log'!$AD$5:$AD$504,0)),"")</f>
        <v>🕒 8:00 AM Instagram · LAUNCH DAY 🎉</v>
      </c>
      <c r="G19" s="61" t="str">
        <f aca="false">IFERROR(INDEX('Content Log'!$AE$5:$AE$504,MATCH(TEXT(G$18,"0")&amp;"|1",'Content Log'!$AD$5:$AD$504,0)),"")</f>
        <v/>
      </c>
      <c r="H19" s="61" t="str">
        <f aca="false">IFERROR(INDEX('Content Log'!$AE$5:$AE$504,MATCH(TEXT(H$18,"0")&amp;"|1",'Content Log'!$AD$5:$AD$504,0)),"")</f>
        <v/>
      </c>
    </row>
    <row r="20" customFormat="false" ht="30" hidden="false" customHeight="true" outlineLevel="0" collapsed="false">
      <c r="B20" s="61" t="str">
        <f aca="false">IFERROR(INDEX('Content Log'!$AE$5:$AE$504,MATCH(TEXT(B$18,"0")&amp;"|2",'Content Log'!$AD$5:$AD$504,0)),"")</f>
        <v/>
      </c>
      <c r="C20" s="61" t="str">
        <f aca="false">IFERROR(INDEX('Content Log'!$AE$5:$AE$504,MATCH(TEXT(C$18,"0")&amp;"|2",'Content Log'!$AD$5:$AD$504,0)),"")</f>
        <v/>
      </c>
      <c r="D20" s="61" t="str">
        <f aca="false">IFERROR(INDEX('Content Log'!$AE$5:$AE$504,MATCH(TEXT(D$18,"0")&amp;"|2",'Content Log'!$AD$5:$AD$504,0)),"")</f>
        <v/>
      </c>
      <c r="E20" s="61" t="str">
        <f aca="false">IFERROR(INDEX('Content Log'!$AE$5:$AE$504,MATCH(TEXT(E$18,"0")&amp;"|2",'Content Log'!$AD$5:$AD$504,0)),"")</f>
        <v/>
      </c>
      <c r="F20" s="61" t="str">
        <f aca="false">IFERROR(INDEX('Content Log'!$AE$5:$AE$504,MATCH(TEXT(F$18,"0")&amp;"|2",'Content Log'!$AD$5:$AD$504,0)),"")</f>
        <v>🕒 12:00 PM Facebook · Launch announcement</v>
      </c>
      <c r="G20" s="61" t="str">
        <f aca="false">IFERROR(INDEX('Content Log'!$AE$5:$AE$504,MATCH(TEXT(G$18,"0")&amp;"|2",'Content Log'!$AD$5:$AD$504,0)),"")</f>
        <v/>
      </c>
      <c r="H20" s="61" t="str">
        <f aca="false">IFERROR(INDEX('Content Log'!$AE$5:$AE$504,MATCH(TEXT(H$18,"0")&amp;"|2",'Content Log'!$AD$5:$AD$504,0)),"")</f>
        <v/>
      </c>
    </row>
    <row r="21" customFormat="false" ht="30" hidden="false" customHeight="true" outlineLevel="0" collapsed="false">
      <c r="B21" s="61" t="str">
        <f aca="false">IFERROR(INDEX('Content Log'!$AE$5:$AE$504,MATCH(TEXT(B$18,"0")&amp;"|3",'Content Log'!$AD$5:$AD$504,0)),"")</f>
        <v/>
      </c>
      <c r="C21" s="61" t="str">
        <f aca="false">IFERROR(INDEX('Content Log'!$AE$5:$AE$504,MATCH(TEXT(C$18,"0")&amp;"|3",'Content Log'!$AD$5:$AD$504,0)),"")</f>
        <v/>
      </c>
      <c r="D21" s="61" t="str">
        <f aca="false">IFERROR(INDEX('Content Log'!$AE$5:$AE$504,MATCH(TEXT(D$18,"0")&amp;"|3",'Content Log'!$AD$5:$AD$504,0)),"")</f>
        <v/>
      </c>
      <c r="E21" s="61" t="str">
        <f aca="false">IFERROR(INDEX('Content Log'!$AE$5:$AE$504,MATCH(TEXT(E$18,"0")&amp;"|3",'Content Log'!$AD$5:$AD$504,0)),"")</f>
        <v/>
      </c>
      <c r="F21" s="61" t="str">
        <f aca="false">IFERROR(INDEX('Content Log'!$AE$5:$AE$504,MATCH(TEXT(F$18,"0")&amp;"|3",'Content Log'!$AD$5:$AD$504,0)),"")</f>
        <v>✏️ 6:00 PM LinkedIn · Why we built this</v>
      </c>
      <c r="G21" s="61" t="str">
        <f aca="false">IFERROR(INDEX('Content Log'!$AE$5:$AE$504,MATCH(TEXT(G$18,"0")&amp;"|3",'Content Log'!$AD$5:$AD$504,0)),"")</f>
        <v/>
      </c>
      <c r="H21" s="61" t="str">
        <f aca="false">IFERROR(INDEX('Content Log'!$AE$5:$AE$504,MATCH(TEXT(H$18,"0")&amp;"|3",'Content Log'!$AD$5:$AD$504,0)),"")</f>
        <v/>
      </c>
    </row>
    <row r="22" customFormat="false" ht="13.5" hidden="false" customHeight="true" outlineLevel="0" collapsed="false">
      <c r="B22" s="62" t="str">
        <f aca="false">IF(COUNTIF('Content Log'!$A$5:$A$504,B18)&gt;3,"+"&amp;(COUNTIF('Content Log'!$A$5:$A$504,B18)-3)&amp;" more → see Weekly View","")</f>
        <v/>
      </c>
      <c r="C22" s="62" t="str">
        <f aca="false">IF(COUNTIF('Content Log'!$A$5:$A$504,C18)&gt;3,"+"&amp;(COUNTIF('Content Log'!$A$5:$A$504,C18)-3)&amp;" more → see Weekly View","")</f>
        <v/>
      </c>
      <c r="D22" s="62" t="str">
        <f aca="false">IF(COUNTIF('Content Log'!$A$5:$A$504,D18)&gt;3,"+"&amp;(COUNTIF('Content Log'!$A$5:$A$504,D18)-3)&amp;" more → see Weekly View","")</f>
        <v/>
      </c>
      <c r="E22" s="62" t="str">
        <f aca="false">IF(COUNTIF('Content Log'!$A$5:$A$504,E18)&gt;3,"+"&amp;(COUNTIF('Content Log'!$A$5:$A$504,E18)-3)&amp;" more → see Weekly View","")</f>
        <v/>
      </c>
      <c r="F22" s="62" t="str">
        <f aca="false">IF(COUNTIF('Content Log'!$A$5:$A$504,F18)&gt;3,"+"&amp;(COUNTIF('Content Log'!$A$5:$A$504,F18)-3)&amp;" more → see Weekly View","")</f>
        <v>+1 more → see Weekly View</v>
      </c>
      <c r="G22" s="62" t="str">
        <f aca="false">IF(COUNTIF('Content Log'!$A$5:$A$504,G18)&gt;3,"+"&amp;(COUNTIF('Content Log'!$A$5:$A$504,G18)-3)&amp;" more → see Weekly View","")</f>
        <v/>
      </c>
      <c r="H22" s="62" t="str">
        <f aca="false">IF(COUNTIF('Content Log'!$A$5:$A$504,H18)&gt;3,"+"&amp;(COUNTIF('Content Log'!$A$5:$A$504,H18)-3)&amp;" more → see Weekly View","")</f>
        <v/>
      </c>
    </row>
    <row r="23" customFormat="false" ht="19.5" hidden="false" customHeight="true" outlineLevel="0" collapsed="false">
      <c r="B23" s="60" t="n">
        <f aca="false">$K$6+21</f>
        <v>46313</v>
      </c>
      <c r="C23" s="60" t="n">
        <f aca="false">$K$6+22</f>
        <v>46314</v>
      </c>
      <c r="D23" s="60" t="n">
        <f aca="false">$K$6+23</f>
        <v>46315</v>
      </c>
      <c r="E23" s="60" t="n">
        <f aca="false">$K$6+24</f>
        <v>46316</v>
      </c>
      <c r="F23" s="60" t="n">
        <f aca="false">$K$6+25</f>
        <v>46317</v>
      </c>
      <c r="G23" s="60" t="n">
        <f aca="false">$K$6+26</f>
        <v>46318</v>
      </c>
      <c r="H23" s="60" t="n">
        <f aca="false">$K$6+27</f>
        <v>46319</v>
      </c>
    </row>
    <row r="24" customFormat="false" ht="30" hidden="false" customHeight="true" outlineLevel="0" collapsed="false">
      <c r="B24" s="61" t="str">
        <f aca="false">IFERROR(INDEX('Content Log'!$AE$5:$AE$504,MATCH(TEXT(B$23,"0")&amp;"|1",'Content Log'!$AD$5:$AD$504,0)),"")</f>
        <v/>
      </c>
      <c r="C24" s="61" t="str">
        <f aca="false">IFERROR(INDEX('Content Log'!$AE$5:$AE$504,MATCH(TEXT(C$23,"0")&amp;"|1",'Content Log'!$AD$5:$AD$504,0)),"")</f>
        <v/>
      </c>
      <c r="D24" s="61" t="str">
        <f aca="false">IFERROR(INDEX('Content Log'!$AE$5:$AE$504,MATCH(TEXT(D$23,"0")&amp;"|1",'Content Log'!$AD$5:$AD$504,0)),"")</f>
        <v>💡 2:00 PM YouTube · Q4 content strategy masterclass</v>
      </c>
      <c r="E24" s="61" t="str">
        <f aca="false">IFERROR(INDEX('Content Log'!$AE$5:$AE$504,MATCH(TEXT(E$23,"0")&amp;"|1",'Content Log'!$AD$5:$AD$504,0)),"")</f>
        <v/>
      </c>
      <c r="F24" s="61" t="str">
        <f aca="false">IFERROR(INDEX('Content Log'!$AE$5:$AE$504,MATCH(TEXT(F$23,"0")&amp;"|1",'Content Log'!$AD$5:$AD$504,0)),"")</f>
        <v>💡 10:00 AM Pinterest · Hashtag cheat sheet</v>
      </c>
      <c r="G24" s="61" t="str">
        <f aca="false">IFERROR(INDEX('Content Log'!$AE$5:$AE$504,MATCH(TEXT(G$23,"0")&amp;"|1",'Content Log'!$AD$5:$AD$504,0)),"")</f>
        <v/>
      </c>
      <c r="H24" s="61" t="str">
        <f aca="false">IFERROR(INDEX('Content Log'!$AE$5:$AE$504,MATCH(TEXT(H$23,"0")&amp;"|1",'Content Log'!$AD$5:$AD$504,0)),"")</f>
        <v/>
      </c>
    </row>
    <row r="25" customFormat="false" ht="30" hidden="false" customHeight="true" outlineLevel="0" collapsed="false">
      <c r="B25" s="61" t="str">
        <f aca="false">IFERROR(INDEX('Content Log'!$AE$5:$AE$504,MATCH(TEXT(B$23,"0")&amp;"|2",'Content Log'!$AD$5:$AD$504,0)),"")</f>
        <v/>
      </c>
      <c r="C25" s="61" t="str">
        <f aca="false">IFERROR(INDEX('Content Log'!$AE$5:$AE$504,MATCH(TEXT(C$23,"0")&amp;"|2",'Content Log'!$AD$5:$AD$504,0)),"")</f>
        <v/>
      </c>
      <c r="D25" s="61" t="str">
        <f aca="false">IFERROR(INDEX('Content Log'!$AE$5:$AE$504,MATCH(TEXT(D$23,"0")&amp;"|2",'Content Log'!$AD$5:$AD$504,0)),"")</f>
        <v/>
      </c>
      <c r="E25" s="61" t="str">
        <f aca="false">IFERROR(INDEX('Content Log'!$AE$5:$AE$504,MATCH(TEXT(E$23,"0")&amp;"|2",'Content Log'!$AD$5:$AD$504,0)),"")</f>
        <v/>
      </c>
      <c r="F25" s="61" t="str">
        <f aca="false">IFERROR(INDEX('Content Log'!$AE$5:$AE$504,MATCH(TEXT(F$23,"0")&amp;"|2",'Content Log'!$AD$5:$AD$504,0)),"")</f>
        <v/>
      </c>
      <c r="G25" s="61" t="str">
        <f aca="false">IFERROR(INDEX('Content Log'!$AE$5:$AE$504,MATCH(TEXT(G$23,"0")&amp;"|2",'Content Log'!$AD$5:$AD$504,0)),"")</f>
        <v/>
      </c>
      <c r="H25" s="61" t="str">
        <f aca="false">IFERROR(INDEX('Content Log'!$AE$5:$AE$504,MATCH(TEXT(H$23,"0")&amp;"|2",'Content Log'!$AD$5:$AD$504,0)),"")</f>
        <v/>
      </c>
    </row>
    <row r="26" customFormat="false" ht="30" hidden="false" customHeight="true" outlineLevel="0" collapsed="false">
      <c r="B26" s="61" t="str">
        <f aca="false">IFERROR(INDEX('Content Log'!$AE$5:$AE$504,MATCH(TEXT(B$23,"0")&amp;"|3",'Content Log'!$AD$5:$AD$504,0)),"")</f>
        <v/>
      </c>
      <c r="C26" s="61" t="str">
        <f aca="false">IFERROR(INDEX('Content Log'!$AE$5:$AE$504,MATCH(TEXT(C$23,"0")&amp;"|3",'Content Log'!$AD$5:$AD$504,0)),"")</f>
        <v/>
      </c>
      <c r="D26" s="61" t="str">
        <f aca="false">IFERROR(INDEX('Content Log'!$AE$5:$AE$504,MATCH(TEXT(D$23,"0")&amp;"|3",'Content Log'!$AD$5:$AD$504,0)),"")</f>
        <v/>
      </c>
      <c r="E26" s="61" t="str">
        <f aca="false">IFERROR(INDEX('Content Log'!$AE$5:$AE$504,MATCH(TEXT(E$23,"0")&amp;"|3",'Content Log'!$AD$5:$AD$504,0)),"")</f>
        <v/>
      </c>
      <c r="F26" s="61" t="str">
        <f aca="false">IFERROR(INDEX('Content Log'!$AE$5:$AE$504,MATCH(TEXT(F$23,"0")&amp;"|3",'Content Log'!$AD$5:$AD$504,0)),"")</f>
        <v/>
      </c>
      <c r="G26" s="61" t="str">
        <f aca="false">IFERROR(INDEX('Content Log'!$AE$5:$AE$504,MATCH(TEXT(G$23,"0")&amp;"|3",'Content Log'!$AD$5:$AD$504,0)),"")</f>
        <v/>
      </c>
      <c r="H26" s="61" t="str">
        <f aca="false">IFERROR(INDEX('Content Log'!$AE$5:$AE$504,MATCH(TEXT(H$23,"0")&amp;"|3",'Content Log'!$AD$5:$AD$504,0)),"")</f>
        <v/>
      </c>
    </row>
    <row r="27" customFormat="false" ht="13.5" hidden="false" customHeight="true" outlineLevel="0" collapsed="false">
      <c r="B27" s="62" t="str">
        <f aca="false">IF(COUNTIF('Content Log'!$A$5:$A$504,B23)&gt;3,"+"&amp;(COUNTIF('Content Log'!$A$5:$A$504,B23)-3)&amp;" more → see Weekly View","")</f>
        <v/>
      </c>
      <c r="C27" s="62" t="str">
        <f aca="false">IF(COUNTIF('Content Log'!$A$5:$A$504,C23)&gt;3,"+"&amp;(COUNTIF('Content Log'!$A$5:$A$504,C23)-3)&amp;" more → see Weekly View","")</f>
        <v/>
      </c>
      <c r="D27" s="62" t="str">
        <f aca="false">IF(COUNTIF('Content Log'!$A$5:$A$504,D23)&gt;3,"+"&amp;(COUNTIF('Content Log'!$A$5:$A$504,D23)-3)&amp;" more → see Weekly View","")</f>
        <v/>
      </c>
      <c r="E27" s="62" t="str">
        <f aca="false">IF(COUNTIF('Content Log'!$A$5:$A$504,E23)&gt;3,"+"&amp;(COUNTIF('Content Log'!$A$5:$A$504,E23)-3)&amp;" more → see Weekly View","")</f>
        <v/>
      </c>
      <c r="F27" s="62" t="str">
        <f aca="false">IF(COUNTIF('Content Log'!$A$5:$A$504,F23)&gt;3,"+"&amp;(COUNTIF('Content Log'!$A$5:$A$504,F23)-3)&amp;" more → see Weekly View","")</f>
        <v/>
      </c>
      <c r="G27" s="62" t="str">
        <f aca="false">IF(COUNTIF('Content Log'!$A$5:$A$504,G23)&gt;3,"+"&amp;(COUNTIF('Content Log'!$A$5:$A$504,G23)-3)&amp;" more → see Weekly View","")</f>
        <v/>
      </c>
      <c r="H27" s="62" t="str">
        <f aca="false">IF(COUNTIF('Content Log'!$A$5:$A$504,H23)&gt;3,"+"&amp;(COUNTIF('Content Log'!$A$5:$A$504,H23)-3)&amp;" more → see Weekly View","")</f>
        <v/>
      </c>
    </row>
    <row r="28" customFormat="false" ht="19.5" hidden="false" customHeight="true" outlineLevel="0" collapsed="false">
      <c r="B28" s="60" t="n">
        <f aca="false">$K$6+28</f>
        <v>46320</v>
      </c>
      <c r="C28" s="60" t="n">
        <f aca="false">$K$6+29</f>
        <v>46321</v>
      </c>
      <c r="D28" s="60" t="n">
        <f aca="false">$K$6+30</f>
        <v>46322</v>
      </c>
      <c r="E28" s="60" t="n">
        <f aca="false">$K$6+31</f>
        <v>46323</v>
      </c>
      <c r="F28" s="60" t="n">
        <f aca="false">$K$6+32</f>
        <v>46324</v>
      </c>
      <c r="G28" s="60" t="n">
        <f aca="false">$K$6+33</f>
        <v>46325</v>
      </c>
      <c r="H28" s="60" t="n">
        <f aca="false">$K$6+34</f>
        <v>46326</v>
      </c>
    </row>
    <row r="29" customFormat="false" ht="30" hidden="false" customHeight="true" outlineLevel="0" collapsed="false">
      <c r="B29" s="61" t="str">
        <f aca="false">IFERROR(INDEX('Content Log'!$AE$5:$AE$504,MATCH(TEXT(B$28,"0")&amp;"|1",'Content Log'!$AD$5:$AD$504,0)),"")</f>
        <v/>
      </c>
      <c r="C29" s="61" t="str">
        <f aca="false">IFERROR(INDEX('Content Log'!$AE$5:$AE$504,MATCH(TEXT(C$28,"0")&amp;"|1",'Content Log'!$AD$5:$AD$504,0)),"")</f>
        <v/>
      </c>
      <c r="D29" s="61" t="str">
        <f aca="false">IFERROR(INDEX('Content Log'!$AE$5:$AE$504,MATCH(TEXT(D$28,"0")&amp;"|1",'Content Log'!$AD$5:$AD$504,0)),"")</f>
        <v>💡 6:00 PM Instagram · Your best fall content (UGC)</v>
      </c>
      <c r="E29" s="61" t="str">
        <f aca="false">IFERROR(INDEX('Content Log'!$AE$5:$AE$504,MATCH(TEXT(E$28,"0")&amp;"|1",'Content Log'!$AD$5:$AD$504,0)),"")</f>
        <v/>
      </c>
      <c r="F29" s="61" t="str">
        <f aca="false">IFERROR(INDEX('Content Log'!$AE$5:$AE$504,MATCH(TEXT(F$28,"0")&amp;"|1",'Content Log'!$AD$5:$AD$504,0)),"")</f>
        <v/>
      </c>
      <c r="G29" s="61" t="str">
        <f aca="false">IFERROR(INDEX('Content Log'!$AE$5:$AE$504,MATCH(TEXT(G$28,"0")&amp;"|1",'Content Log'!$AD$5:$AD$504,0)),"")</f>
        <v>💡 5:00 PM TikTok · Spooky planner tour</v>
      </c>
      <c r="H29" s="61" t="str">
        <f aca="false">IFERROR(INDEX('Content Log'!$AE$5:$AE$504,MATCH(TEXT(H$28,"0")&amp;"|1",'Content Log'!$AD$5:$AD$504,0)),"")</f>
        <v/>
      </c>
    </row>
    <row r="30" customFormat="false" ht="30" hidden="false" customHeight="true" outlineLevel="0" collapsed="false">
      <c r="B30" s="61" t="str">
        <f aca="false">IFERROR(INDEX('Content Log'!$AE$5:$AE$504,MATCH(TEXT(B$28,"0")&amp;"|2",'Content Log'!$AD$5:$AD$504,0)),"")</f>
        <v/>
      </c>
      <c r="C30" s="61" t="str">
        <f aca="false">IFERROR(INDEX('Content Log'!$AE$5:$AE$504,MATCH(TEXT(C$28,"0")&amp;"|2",'Content Log'!$AD$5:$AD$504,0)),"")</f>
        <v/>
      </c>
      <c r="D30" s="61" t="str">
        <f aca="false">IFERROR(INDEX('Content Log'!$AE$5:$AE$504,MATCH(TEXT(D$28,"0")&amp;"|2",'Content Log'!$AD$5:$AD$504,0)),"")</f>
        <v/>
      </c>
      <c r="E30" s="61" t="str">
        <f aca="false">IFERROR(INDEX('Content Log'!$AE$5:$AE$504,MATCH(TEXT(E$28,"0")&amp;"|2",'Content Log'!$AD$5:$AD$504,0)),"")</f>
        <v/>
      </c>
      <c r="F30" s="61" t="str">
        <f aca="false">IFERROR(INDEX('Content Log'!$AE$5:$AE$504,MATCH(TEXT(F$28,"0")&amp;"|2",'Content Log'!$AD$5:$AD$504,0)),"")</f>
        <v/>
      </c>
      <c r="G30" s="61" t="str">
        <f aca="false">IFERROR(INDEX('Content Log'!$AE$5:$AE$504,MATCH(TEXT(G$28,"0")&amp;"|2",'Content Log'!$AD$5:$AD$504,0)),"")</f>
        <v/>
      </c>
      <c r="H30" s="61" t="str">
        <f aca="false">IFERROR(INDEX('Content Log'!$AE$5:$AE$504,MATCH(TEXT(H$28,"0")&amp;"|2",'Content Log'!$AD$5:$AD$504,0)),"")</f>
        <v/>
      </c>
    </row>
    <row r="31" customFormat="false" ht="30" hidden="false" customHeight="true" outlineLevel="0" collapsed="false">
      <c r="B31" s="61" t="str">
        <f aca="false">IFERROR(INDEX('Content Log'!$AE$5:$AE$504,MATCH(TEXT(B$28,"0")&amp;"|3",'Content Log'!$AD$5:$AD$504,0)),"")</f>
        <v/>
      </c>
      <c r="C31" s="61" t="str">
        <f aca="false">IFERROR(INDEX('Content Log'!$AE$5:$AE$504,MATCH(TEXT(C$28,"0")&amp;"|3",'Content Log'!$AD$5:$AD$504,0)),"")</f>
        <v/>
      </c>
      <c r="D31" s="61" t="str">
        <f aca="false">IFERROR(INDEX('Content Log'!$AE$5:$AE$504,MATCH(TEXT(D$28,"0")&amp;"|3",'Content Log'!$AD$5:$AD$504,0)),"")</f>
        <v/>
      </c>
      <c r="E31" s="61" t="str">
        <f aca="false">IFERROR(INDEX('Content Log'!$AE$5:$AE$504,MATCH(TEXT(E$28,"0")&amp;"|3",'Content Log'!$AD$5:$AD$504,0)),"")</f>
        <v/>
      </c>
      <c r="F31" s="61" t="str">
        <f aca="false">IFERROR(INDEX('Content Log'!$AE$5:$AE$504,MATCH(TEXT(F$28,"0")&amp;"|3",'Content Log'!$AD$5:$AD$504,0)),"")</f>
        <v/>
      </c>
      <c r="G31" s="61" t="str">
        <f aca="false">IFERROR(INDEX('Content Log'!$AE$5:$AE$504,MATCH(TEXT(G$28,"0")&amp;"|3",'Content Log'!$AD$5:$AD$504,0)),"")</f>
        <v/>
      </c>
      <c r="H31" s="61" t="str">
        <f aca="false">IFERROR(INDEX('Content Log'!$AE$5:$AE$504,MATCH(TEXT(H$28,"0")&amp;"|3",'Content Log'!$AD$5:$AD$504,0)),"")</f>
        <v/>
      </c>
    </row>
    <row r="32" customFormat="false" ht="13.5" hidden="false" customHeight="true" outlineLevel="0" collapsed="false">
      <c r="B32" s="62" t="str">
        <f aca="false">IF(COUNTIF('Content Log'!$A$5:$A$504,B28)&gt;3,"+"&amp;(COUNTIF('Content Log'!$A$5:$A$504,B28)-3)&amp;" more → see Weekly View","")</f>
        <v/>
      </c>
      <c r="C32" s="62" t="str">
        <f aca="false">IF(COUNTIF('Content Log'!$A$5:$A$504,C28)&gt;3,"+"&amp;(COUNTIF('Content Log'!$A$5:$A$504,C28)-3)&amp;" more → see Weekly View","")</f>
        <v/>
      </c>
      <c r="D32" s="62" t="str">
        <f aca="false">IF(COUNTIF('Content Log'!$A$5:$A$504,D28)&gt;3,"+"&amp;(COUNTIF('Content Log'!$A$5:$A$504,D28)-3)&amp;" more → see Weekly View","")</f>
        <v/>
      </c>
      <c r="E32" s="62" t="str">
        <f aca="false">IF(COUNTIF('Content Log'!$A$5:$A$504,E28)&gt;3,"+"&amp;(COUNTIF('Content Log'!$A$5:$A$504,E28)-3)&amp;" more → see Weekly View","")</f>
        <v/>
      </c>
      <c r="F32" s="62" t="str">
        <f aca="false">IF(COUNTIF('Content Log'!$A$5:$A$504,F28)&gt;3,"+"&amp;(COUNTIF('Content Log'!$A$5:$A$504,F28)-3)&amp;" more → see Weekly View","")</f>
        <v/>
      </c>
      <c r="G32" s="62" t="str">
        <f aca="false">IF(COUNTIF('Content Log'!$A$5:$A$504,G28)&gt;3,"+"&amp;(COUNTIF('Content Log'!$A$5:$A$504,G28)-3)&amp;" more → see Weekly View","")</f>
        <v/>
      </c>
      <c r="H32" s="62" t="str">
        <f aca="false">IF(COUNTIF('Content Log'!$A$5:$A$504,H28)&gt;3,"+"&amp;(COUNTIF('Content Log'!$A$5:$A$504,H28)-3)&amp;" more → see Weekly View","")</f>
        <v/>
      </c>
    </row>
    <row r="33" customFormat="false" ht="19.5" hidden="false" customHeight="true" outlineLevel="0" collapsed="false">
      <c r="B33" s="60" t="n">
        <f aca="false">$K$6+35</f>
        <v>46327</v>
      </c>
      <c r="C33" s="60" t="n">
        <f aca="false">$K$6+36</f>
        <v>46328</v>
      </c>
      <c r="D33" s="60" t="n">
        <f aca="false">$K$6+37</f>
        <v>46329</v>
      </c>
      <c r="E33" s="60" t="n">
        <f aca="false">$K$6+38</f>
        <v>46330</v>
      </c>
      <c r="F33" s="60" t="n">
        <f aca="false">$K$6+39</f>
        <v>46331</v>
      </c>
      <c r="G33" s="60" t="n">
        <f aca="false">$K$6+40</f>
        <v>46332</v>
      </c>
      <c r="H33" s="60" t="n">
        <f aca="false">$K$6+41</f>
        <v>46333</v>
      </c>
    </row>
    <row r="34" customFormat="false" ht="30" hidden="false" customHeight="true" outlineLevel="0" collapsed="false">
      <c r="B34" s="61" t="str">
        <f aca="false">IFERROR(INDEX('Content Log'!$AE$5:$AE$504,MATCH(TEXT(B$33,"0")&amp;"|1",'Content Log'!$AD$5:$AD$504,0)),"")</f>
        <v/>
      </c>
      <c r="C34" s="61" t="str">
        <f aca="false">IFERROR(INDEX('Content Log'!$AE$5:$AE$504,MATCH(TEXT(C$33,"0")&amp;"|1",'Content Log'!$AD$5:$AD$504,0)),"")</f>
        <v/>
      </c>
      <c r="D34" s="61" t="str">
        <f aca="false">IFERROR(INDEX('Content Log'!$AE$5:$AE$504,MATCH(TEXT(D$33,"0")&amp;"|1",'Content Log'!$AD$5:$AD$504,0)),"")</f>
        <v/>
      </c>
      <c r="E34" s="61" t="str">
        <f aca="false">IFERROR(INDEX('Content Log'!$AE$5:$AE$504,MATCH(TEXT(E$33,"0")&amp;"|1",'Content Log'!$AD$5:$AD$504,0)),"")</f>
        <v/>
      </c>
      <c r="F34" s="61" t="str">
        <f aca="false">IFERROR(INDEX('Content Log'!$AE$5:$AE$504,MATCH(TEXT(F$33,"0")&amp;"|1",'Content Log'!$AD$5:$AD$504,0)),"")</f>
        <v/>
      </c>
      <c r="G34" s="61" t="str">
        <f aca="false">IFERROR(INDEX('Content Log'!$AE$5:$AE$504,MATCH(TEXT(G$33,"0")&amp;"|1",'Content Log'!$AD$5:$AD$504,0)),"")</f>
        <v/>
      </c>
      <c r="H34" s="61" t="str">
        <f aca="false">IFERROR(INDEX('Content Log'!$AE$5:$AE$504,MATCH(TEXT(H$33,"0")&amp;"|1",'Content Log'!$AD$5:$AD$504,0)),"")</f>
        <v/>
      </c>
    </row>
    <row r="35" customFormat="false" ht="30" hidden="false" customHeight="true" outlineLevel="0" collapsed="false">
      <c r="B35" s="61" t="str">
        <f aca="false">IFERROR(INDEX('Content Log'!$AE$5:$AE$504,MATCH(TEXT(B$33,"0")&amp;"|2",'Content Log'!$AD$5:$AD$504,0)),"")</f>
        <v/>
      </c>
      <c r="C35" s="61" t="str">
        <f aca="false">IFERROR(INDEX('Content Log'!$AE$5:$AE$504,MATCH(TEXT(C$33,"0")&amp;"|2",'Content Log'!$AD$5:$AD$504,0)),"")</f>
        <v/>
      </c>
      <c r="D35" s="61" t="str">
        <f aca="false">IFERROR(INDEX('Content Log'!$AE$5:$AE$504,MATCH(TEXT(D$33,"0")&amp;"|2",'Content Log'!$AD$5:$AD$504,0)),"")</f>
        <v/>
      </c>
      <c r="E35" s="61" t="str">
        <f aca="false">IFERROR(INDEX('Content Log'!$AE$5:$AE$504,MATCH(TEXT(E$33,"0")&amp;"|2",'Content Log'!$AD$5:$AD$504,0)),"")</f>
        <v/>
      </c>
      <c r="F35" s="61" t="str">
        <f aca="false">IFERROR(INDEX('Content Log'!$AE$5:$AE$504,MATCH(TEXT(F$33,"0")&amp;"|2",'Content Log'!$AD$5:$AD$504,0)),"")</f>
        <v/>
      </c>
      <c r="G35" s="61" t="str">
        <f aca="false">IFERROR(INDEX('Content Log'!$AE$5:$AE$504,MATCH(TEXT(G$33,"0")&amp;"|2",'Content Log'!$AD$5:$AD$504,0)),"")</f>
        <v/>
      </c>
      <c r="H35" s="61" t="str">
        <f aca="false">IFERROR(INDEX('Content Log'!$AE$5:$AE$504,MATCH(TEXT(H$33,"0")&amp;"|2",'Content Log'!$AD$5:$AD$504,0)),"")</f>
        <v/>
      </c>
    </row>
    <row r="36" customFormat="false" ht="30" hidden="false" customHeight="true" outlineLevel="0" collapsed="false">
      <c r="B36" s="61" t="str">
        <f aca="false">IFERROR(INDEX('Content Log'!$AE$5:$AE$504,MATCH(TEXT(B$33,"0")&amp;"|3",'Content Log'!$AD$5:$AD$504,0)),"")</f>
        <v/>
      </c>
      <c r="C36" s="61" t="str">
        <f aca="false">IFERROR(INDEX('Content Log'!$AE$5:$AE$504,MATCH(TEXT(C$33,"0")&amp;"|3",'Content Log'!$AD$5:$AD$504,0)),"")</f>
        <v/>
      </c>
      <c r="D36" s="61" t="str">
        <f aca="false">IFERROR(INDEX('Content Log'!$AE$5:$AE$504,MATCH(TEXT(D$33,"0")&amp;"|3",'Content Log'!$AD$5:$AD$504,0)),"")</f>
        <v/>
      </c>
      <c r="E36" s="61" t="str">
        <f aca="false">IFERROR(INDEX('Content Log'!$AE$5:$AE$504,MATCH(TEXT(E$33,"0")&amp;"|3",'Content Log'!$AD$5:$AD$504,0)),"")</f>
        <v/>
      </c>
      <c r="F36" s="61" t="str">
        <f aca="false">IFERROR(INDEX('Content Log'!$AE$5:$AE$504,MATCH(TEXT(F$33,"0")&amp;"|3",'Content Log'!$AD$5:$AD$504,0)),"")</f>
        <v/>
      </c>
      <c r="G36" s="61" t="str">
        <f aca="false">IFERROR(INDEX('Content Log'!$AE$5:$AE$504,MATCH(TEXT(G$33,"0")&amp;"|3",'Content Log'!$AD$5:$AD$504,0)),"")</f>
        <v/>
      </c>
      <c r="H36" s="61" t="str">
        <f aca="false">IFERROR(INDEX('Content Log'!$AE$5:$AE$504,MATCH(TEXT(H$33,"0")&amp;"|3",'Content Log'!$AD$5:$AD$504,0)),"")</f>
        <v/>
      </c>
    </row>
    <row r="37" customFormat="false" ht="13.5" hidden="false" customHeight="true" outlineLevel="0" collapsed="false">
      <c r="B37" s="62" t="str">
        <f aca="false">IF(COUNTIF('Content Log'!$A$5:$A$504,B33)&gt;3,"+"&amp;(COUNTIF('Content Log'!$A$5:$A$504,B33)-3)&amp;" more → see Weekly View","")</f>
        <v/>
      </c>
      <c r="C37" s="62" t="str">
        <f aca="false">IF(COUNTIF('Content Log'!$A$5:$A$504,C33)&gt;3,"+"&amp;(COUNTIF('Content Log'!$A$5:$A$504,C33)-3)&amp;" more → see Weekly View","")</f>
        <v/>
      </c>
      <c r="D37" s="62" t="str">
        <f aca="false">IF(COUNTIF('Content Log'!$A$5:$A$504,D33)&gt;3,"+"&amp;(COUNTIF('Content Log'!$A$5:$A$504,D33)-3)&amp;" more → see Weekly View","")</f>
        <v/>
      </c>
      <c r="E37" s="62" t="str">
        <f aca="false">IF(COUNTIF('Content Log'!$A$5:$A$504,E33)&gt;3,"+"&amp;(COUNTIF('Content Log'!$A$5:$A$504,E33)-3)&amp;" more → see Weekly View","")</f>
        <v/>
      </c>
      <c r="F37" s="62" t="str">
        <f aca="false">IF(COUNTIF('Content Log'!$A$5:$A$504,F33)&gt;3,"+"&amp;(COUNTIF('Content Log'!$A$5:$A$504,F33)-3)&amp;" more → see Weekly View","")</f>
        <v/>
      </c>
      <c r="G37" s="62" t="str">
        <f aca="false">IF(COUNTIF('Content Log'!$A$5:$A$504,G33)&gt;3,"+"&amp;(COUNTIF('Content Log'!$A$5:$A$504,G33)-3)&amp;" more → see Weekly View","")</f>
        <v/>
      </c>
      <c r="H37" s="62" t="str">
        <f aca="false">IF(COUNTIF('Content Log'!$A$5:$A$504,H33)&gt;3,"+"&amp;(COUNTIF('Content Log'!$A$5:$A$504,H33)-3)&amp;" more → see Weekly View","")</f>
        <v/>
      </c>
    </row>
    <row r="39" customFormat="false" ht="15" hidden="false" customHeight="false" outlineLevel="0" collapsed="false">
      <c r="B39" s="63" t="s">
        <v>238</v>
      </c>
    </row>
  </sheetData>
  <mergeCells count="1">
    <mergeCell ref="B5:H5"/>
  </mergeCells>
  <conditionalFormatting sqref="B8:H8">
    <cfRule type="expression" priority="2" aboveAverage="0" equalAverage="0" bottom="0" percent="0" rank="0" text="" dxfId="29">
      <formula>B8=TODAY()</formula>
    </cfRule>
  </conditionalFormatting>
  <conditionalFormatting sqref="B8:H12">
    <cfRule type="expression" priority="3" aboveAverage="0" equalAverage="0" bottom="0" percent="0" rank="0" text="" dxfId="30">
      <formula>MONTH(B$8)&lt;&gt;$K$4</formula>
    </cfRule>
  </conditionalFormatting>
  <conditionalFormatting sqref="B13:H13">
    <cfRule type="expression" priority="4" aboveAverage="0" equalAverage="0" bottom="0" percent="0" rank="0" text="" dxfId="29">
      <formula>B13=TODAY()</formula>
    </cfRule>
  </conditionalFormatting>
  <conditionalFormatting sqref="B13:H17">
    <cfRule type="expression" priority="5" aboveAverage="0" equalAverage="0" bottom="0" percent="0" rank="0" text="" dxfId="30">
      <formula>MONTH(B$13)&lt;&gt;$K$4</formula>
    </cfRule>
  </conditionalFormatting>
  <conditionalFormatting sqref="B18:H18">
    <cfRule type="expression" priority="6" aboveAverage="0" equalAverage="0" bottom="0" percent="0" rank="0" text="" dxfId="29">
      <formula>B18=TODAY()</formula>
    </cfRule>
  </conditionalFormatting>
  <conditionalFormatting sqref="B18:H22">
    <cfRule type="expression" priority="7" aboveAverage="0" equalAverage="0" bottom="0" percent="0" rank="0" text="" dxfId="30">
      <formula>MONTH(B$18)&lt;&gt;$K$4</formula>
    </cfRule>
  </conditionalFormatting>
  <conditionalFormatting sqref="B23:H23">
    <cfRule type="expression" priority="8" aboveAverage="0" equalAverage="0" bottom="0" percent="0" rank="0" text="" dxfId="29">
      <formula>B23=TODAY()</formula>
    </cfRule>
  </conditionalFormatting>
  <conditionalFormatting sqref="B23:H27">
    <cfRule type="expression" priority="9" aboveAverage="0" equalAverage="0" bottom="0" percent="0" rank="0" text="" dxfId="30">
      <formula>MONTH(B$23)&lt;&gt;$K$4</formula>
    </cfRule>
  </conditionalFormatting>
  <conditionalFormatting sqref="B28:H28">
    <cfRule type="expression" priority="10" aboveAverage="0" equalAverage="0" bottom="0" percent="0" rank="0" text="" dxfId="29">
      <formula>B28=TODAY()</formula>
    </cfRule>
  </conditionalFormatting>
  <conditionalFormatting sqref="B28:H32">
    <cfRule type="expression" priority="11" aboveAverage="0" equalAverage="0" bottom="0" percent="0" rank="0" text="" dxfId="30">
      <formula>MONTH(B$28)&lt;&gt;$K$4</formula>
    </cfRule>
  </conditionalFormatting>
  <conditionalFormatting sqref="B33:H33">
    <cfRule type="expression" priority="12" aboveAverage="0" equalAverage="0" bottom="0" percent="0" rank="0" text="" dxfId="29">
      <formula>B33=TODAY()</formula>
    </cfRule>
  </conditionalFormatting>
  <conditionalFormatting sqref="B33:H37">
    <cfRule type="expression" priority="13" aboveAverage="0" equalAverage="0" bottom="0" percent="0" rank="0" text="" dxfId="30">
      <formula>MONTH(B$33)&lt;&gt;$K$4</formula>
    </cfRule>
  </conditionalFormatting>
  <dataValidations count="1">
    <dataValidation allowBlank="true" error="Pick a value from the list (edit the list on the Setup tab)." errorStyle="warning" errorTitle="Not in list" operator="between" showDropDown="false" showErrorMessage="false" showInputMessage="false" sqref="C4" type="list">
      <formula1>Setup!$R$9:$R$20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8B7E"/>
    <pageSetUpPr fitToPage="true"/>
  </sheetPr>
  <dimension ref="A1:K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8" min="2" style="0" width="27"/>
    <col collapsed="false" customWidth="true" hidden="false" outlineLevel="0" max="9" min="9" style="0" width="3"/>
    <col collapsed="false" customWidth="true" hidden="false" outlineLevel="0" max="11" min="10" style="0" width="12"/>
  </cols>
  <sheetData>
    <row r="1" customFormat="false" ht="33.75" hidden="false" customHeight="true" outlineLevel="0" collapsed="false">
      <c r="B1" s="1" t="s">
        <v>239</v>
      </c>
    </row>
    <row r="2" customFormat="false" ht="19.5" hidden="false" customHeight="true" outlineLevel="0" collapsed="false">
      <c r="A2" s="2"/>
      <c r="B2" s="3" t="s">
        <v>240</v>
      </c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B4" s="53" t="s">
        <v>241</v>
      </c>
      <c r="C4" s="64" t="n">
        <f aca="true">TODAY()</f>
        <v>46300</v>
      </c>
      <c r="D4" s="65" t="str">
        <f aca="false">"Week of "&amp;TEXT(K4,"mmm d")&amp;" – "&amp;TEXT(K4+6,"mmm d, yyyy")</f>
        <v>Week of Oct 4 – Oct 10, 2026</v>
      </c>
      <c r="E4" s="65"/>
      <c r="F4" s="65"/>
      <c r="J4" s="56" t="s">
        <v>242</v>
      </c>
      <c r="K4" s="59" t="n">
        <f aca="false">C4-MOD(WEEKDAY(C4)-IF(Setup!$C$5="Monday",2,1),7)</f>
        <v>46299</v>
      </c>
    </row>
    <row r="6" customFormat="false" ht="21.75" hidden="false" customHeight="true" outlineLevel="0" collapsed="false">
      <c r="B6" s="17" t="str">
        <f aca="false">TEXT($K$4+0,"dddd")</f>
        <v>Sunday</v>
      </c>
      <c r="C6" s="17" t="str">
        <f aca="false">TEXT($K$4+1,"dddd")</f>
        <v>Monday</v>
      </c>
      <c r="D6" s="17" t="str">
        <f aca="false">TEXT($K$4+2,"dddd")</f>
        <v>Tuesday</v>
      </c>
      <c r="E6" s="17" t="str">
        <f aca="false">TEXT($K$4+3,"dddd")</f>
        <v>Wednesday</v>
      </c>
      <c r="F6" s="17" t="str">
        <f aca="false">TEXT($K$4+4,"dddd")</f>
        <v>Thursday</v>
      </c>
      <c r="G6" s="17" t="str">
        <f aca="false">TEXT($K$4+5,"dddd")</f>
        <v>Friday</v>
      </c>
      <c r="H6" s="17" t="str">
        <f aca="false">TEXT($K$4+6,"dddd")</f>
        <v>Saturday</v>
      </c>
    </row>
    <row r="7" customFormat="false" ht="25.5" hidden="false" customHeight="true" outlineLevel="0" collapsed="false">
      <c r="B7" s="66" t="n">
        <f aca="false">$K$4+0</f>
        <v>46299</v>
      </c>
      <c r="C7" s="66" t="n">
        <f aca="false">$K$4+1</f>
        <v>46300</v>
      </c>
      <c r="D7" s="66" t="n">
        <f aca="false">$K$4+2</f>
        <v>46301</v>
      </c>
      <c r="E7" s="66" t="n">
        <f aca="false">$K$4+3</f>
        <v>46302</v>
      </c>
      <c r="F7" s="66" t="n">
        <f aca="false">$K$4+4</f>
        <v>46303</v>
      </c>
      <c r="G7" s="66" t="n">
        <f aca="false">$K$4+5</f>
        <v>46304</v>
      </c>
      <c r="H7" s="66" t="n">
        <f aca="false">$K$4+6</f>
        <v>46305</v>
      </c>
    </row>
    <row r="8" customFormat="false" ht="15" hidden="false" customHeight="false" outlineLevel="0" collapsed="false">
      <c r="B8" s="67" t="str">
        <f aca="false">COUNTIF('Content Log'!$A$5:$A$504,B7)&amp;" post"&amp;IF(COUNTIF('Content Log'!$A$5:$A$504,B7)=1,"","s")</f>
        <v>0 posts</v>
      </c>
      <c r="C8" s="67" t="str">
        <f aca="false">COUNTIF('Content Log'!$A$5:$A$504,C7)&amp;" post"&amp;IF(COUNTIF('Content Log'!$A$5:$A$504,C7)=1,"","s")</f>
        <v>1 post</v>
      </c>
      <c r="D8" s="67" t="str">
        <f aca="false">COUNTIF('Content Log'!$A$5:$A$504,D7)&amp;" post"&amp;IF(COUNTIF('Content Log'!$A$5:$A$504,D7)=1,"","s")</f>
        <v>1 post</v>
      </c>
      <c r="E8" s="67" t="str">
        <f aca="false">COUNTIF('Content Log'!$A$5:$A$504,E7)&amp;" post"&amp;IF(COUNTIF('Content Log'!$A$5:$A$504,E7)=1,"","s")</f>
        <v>1 post</v>
      </c>
      <c r="F8" s="67" t="str">
        <f aca="false">COUNTIF('Content Log'!$A$5:$A$504,F7)&amp;" post"&amp;IF(COUNTIF('Content Log'!$A$5:$A$504,F7)=1,"","s")</f>
        <v>1 post</v>
      </c>
      <c r="G8" s="67" t="str">
        <f aca="false">COUNTIF('Content Log'!$A$5:$A$504,G7)&amp;" post"&amp;IF(COUNTIF('Content Log'!$A$5:$A$504,G7)=1,"","s")</f>
        <v>1 post</v>
      </c>
      <c r="H8" s="67" t="str">
        <f aca="false">COUNTIF('Content Log'!$A$5:$A$504,H7)&amp;" post"&amp;IF(COUNTIF('Content Log'!$A$5:$A$504,H7)=1,"","s")</f>
        <v>0 posts</v>
      </c>
    </row>
    <row r="9" customFormat="false" ht="43.5" hidden="false" customHeight="true" outlineLevel="0" collapsed="false">
      <c r="B9" s="68" t="str">
        <f aca="false">IFERROR(INDEX('Content Log'!$AE$5:$AE$504,MATCH(TEXT(B$7,"0")&amp;"|1",'Content Log'!$AD$5:$AD$504,0)),"")</f>
        <v/>
      </c>
      <c r="C9" s="68" t="str">
        <f aca="false">IFERROR(INDEX('Content Log'!$AE$5:$AE$504,MATCH(TEXT(C$7,"0")&amp;"|1",'Content Log'!$AD$5:$AD$504,0)),"")</f>
        <v>🕒 9:00 AM Instagram · Poll: which colourway?</v>
      </c>
      <c r="D9" s="68" t="str">
        <f aca="false">IFERROR(INDEX('Content Log'!$AE$5:$AE$504,MATCH(TEXT(D$7,"0")&amp;"|1",'Content Log'!$AD$5:$AD$504,0)),"")</f>
        <v>🕒 12:00 PM LinkedIn · The 4-pillar content framework</v>
      </c>
      <c r="E9" s="68" t="str">
        <f aca="false">IFERROR(INDEX('Content Log'!$AE$5:$AE$504,MATCH(TEXT(E$7,"0")&amp;"|1",'Content Log'!$AD$5:$AD$504,0)),"")</f>
        <v>👀 6:30 PM X / Twitter · Thread: my posting workflow</v>
      </c>
      <c r="F9" s="68" t="str">
        <f aca="false">IFERROR(INDEX('Content Log'!$AE$5:$AE$504,MATCH(TEXT(F$7,"0")&amp;"|1",'Content Log'!$AD$5:$AD$504,0)),"")</f>
        <v>🕒 10:00 AM Pinterest · Cozy fall desk setup</v>
      </c>
      <c r="G9" s="68" t="str">
        <f aca="false">IFERROR(INDEX('Content Log'!$AE$5:$AE$504,MATCH(TEXT(G$7,"0")&amp;"|1",'Content Log'!$AD$5:$AD$504,0)),"")</f>
        <v>✏️ 5:00 PM Instagram · Day in the life of a planner shop</v>
      </c>
      <c r="H9" s="68" t="str">
        <f aca="false">IFERROR(INDEX('Content Log'!$AE$5:$AE$504,MATCH(TEXT(H$7,"0")&amp;"|1",'Content Log'!$AD$5:$AD$504,0)),"")</f>
        <v/>
      </c>
    </row>
    <row r="10" customFormat="false" ht="43.5" hidden="false" customHeight="true" outlineLevel="0" collapsed="false">
      <c r="B10" s="68" t="str">
        <f aca="false">IFERROR(INDEX('Content Log'!$AE$5:$AE$504,MATCH(TEXT(B$7,"0")&amp;"|2",'Content Log'!$AD$5:$AD$504,0)),"")</f>
        <v/>
      </c>
      <c r="C10" s="68" t="str">
        <f aca="false">IFERROR(INDEX('Content Log'!$AE$5:$AE$504,MATCH(TEXT(C$7,"0")&amp;"|2",'Content Log'!$AD$5:$AD$504,0)),"")</f>
        <v/>
      </c>
      <c r="D10" s="68" t="str">
        <f aca="false">IFERROR(INDEX('Content Log'!$AE$5:$AE$504,MATCH(TEXT(D$7,"0")&amp;"|2",'Content Log'!$AD$5:$AD$504,0)),"")</f>
        <v/>
      </c>
      <c r="E10" s="68" t="str">
        <f aca="false">IFERROR(INDEX('Content Log'!$AE$5:$AE$504,MATCH(TEXT(E$7,"0")&amp;"|2",'Content Log'!$AD$5:$AD$504,0)),"")</f>
        <v/>
      </c>
      <c r="F10" s="68" t="str">
        <f aca="false">IFERROR(INDEX('Content Log'!$AE$5:$AE$504,MATCH(TEXT(F$7,"0")&amp;"|2",'Content Log'!$AD$5:$AD$504,0)),"")</f>
        <v/>
      </c>
      <c r="G10" s="68" t="str">
        <f aca="false">IFERROR(INDEX('Content Log'!$AE$5:$AE$504,MATCH(TEXT(G$7,"0")&amp;"|2",'Content Log'!$AD$5:$AD$504,0)),"")</f>
        <v/>
      </c>
      <c r="H10" s="68" t="str">
        <f aca="false">IFERROR(INDEX('Content Log'!$AE$5:$AE$504,MATCH(TEXT(H$7,"0")&amp;"|2",'Content Log'!$AD$5:$AD$504,0)),"")</f>
        <v/>
      </c>
    </row>
    <row r="11" customFormat="false" ht="43.5" hidden="false" customHeight="true" outlineLevel="0" collapsed="false">
      <c r="B11" s="68" t="str">
        <f aca="false">IFERROR(INDEX('Content Log'!$AE$5:$AE$504,MATCH(TEXT(B$7,"0")&amp;"|3",'Content Log'!$AD$5:$AD$504,0)),"")</f>
        <v/>
      </c>
      <c r="C11" s="68" t="str">
        <f aca="false">IFERROR(INDEX('Content Log'!$AE$5:$AE$504,MATCH(TEXT(C$7,"0")&amp;"|3",'Content Log'!$AD$5:$AD$504,0)),"")</f>
        <v/>
      </c>
      <c r="D11" s="68" t="str">
        <f aca="false">IFERROR(INDEX('Content Log'!$AE$5:$AE$504,MATCH(TEXT(D$7,"0")&amp;"|3",'Content Log'!$AD$5:$AD$504,0)),"")</f>
        <v/>
      </c>
      <c r="E11" s="68" t="str">
        <f aca="false">IFERROR(INDEX('Content Log'!$AE$5:$AE$504,MATCH(TEXT(E$7,"0")&amp;"|3",'Content Log'!$AD$5:$AD$504,0)),"")</f>
        <v/>
      </c>
      <c r="F11" s="68" t="str">
        <f aca="false">IFERROR(INDEX('Content Log'!$AE$5:$AE$504,MATCH(TEXT(F$7,"0")&amp;"|3",'Content Log'!$AD$5:$AD$504,0)),"")</f>
        <v/>
      </c>
      <c r="G11" s="68" t="str">
        <f aca="false">IFERROR(INDEX('Content Log'!$AE$5:$AE$504,MATCH(TEXT(G$7,"0")&amp;"|3",'Content Log'!$AD$5:$AD$504,0)),"")</f>
        <v/>
      </c>
      <c r="H11" s="68" t="str">
        <f aca="false">IFERROR(INDEX('Content Log'!$AE$5:$AE$504,MATCH(TEXT(H$7,"0")&amp;"|3",'Content Log'!$AD$5:$AD$504,0)),"")</f>
        <v/>
      </c>
    </row>
    <row r="12" customFormat="false" ht="43.5" hidden="false" customHeight="true" outlineLevel="0" collapsed="false">
      <c r="B12" s="68" t="str">
        <f aca="false">IFERROR(INDEX('Content Log'!$AE$5:$AE$504,MATCH(TEXT(B$7,"0")&amp;"|4",'Content Log'!$AD$5:$AD$504,0)),"")</f>
        <v/>
      </c>
      <c r="C12" s="68" t="str">
        <f aca="false">IFERROR(INDEX('Content Log'!$AE$5:$AE$504,MATCH(TEXT(C$7,"0")&amp;"|4",'Content Log'!$AD$5:$AD$504,0)),"")</f>
        <v/>
      </c>
      <c r="D12" s="68" t="str">
        <f aca="false">IFERROR(INDEX('Content Log'!$AE$5:$AE$504,MATCH(TEXT(D$7,"0")&amp;"|4",'Content Log'!$AD$5:$AD$504,0)),"")</f>
        <v/>
      </c>
      <c r="E12" s="68" t="str">
        <f aca="false">IFERROR(INDEX('Content Log'!$AE$5:$AE$504,MATCH(TEXT(E$7,"0")&amp;"|4",'Content Log'!$AD$5:$AD$504,0)),"")</f>
        <v/>
      </c>
      <c r="F12" s="68" t="str">
        <f aca="false">IFERROR(INDEX('Content Log'!$AE$5:$AE$504,MATCH(TEXT(F$7,"0")&amp;"|4",'Content Log'!$AD$5:$AD$504,0)),"")</f>
        <v/>
      </c>
      <c r="G12" s="68" t="str">
        <f aca="false">IFERROR(INDEX('Content Log'!$AE$5:$AE$504,MATCH(TEXT(G$7,"0")&amp;"|4",'Content Log'!$AD$5:$AD$504,0)),"")</f>
        <v/>
      </c>
      <c r="H12" s="68" t="str">
        <f aca="false">IFERROR(INDEX('Content Log'!$AE$5:$AE$504,MATCH(TEXT(H$7,"0")&amp;"|4",'Content Log'!$AD$5:$AD$504,0)),"")</f>
        <v/>
      </c>
    </row>
    <row r="13" customFormat="false" ht="43.5" hidden="false" customHeight="true" outlineLevel="0" collapsed="false">
      <c r="B13" s="68" t="str">
        <f aca="false">IFERROR(INDEX('Content Log'!$AE$5:$AE$504,MATCH(TEXT(B$7,"0")&amp;"|5",'Content Log'!$AD$5:$AD$504,0)),"")</f>
        <v/>
      </c>
      <c r="C13" s="68" t="str">
        <f aca="false">IFERROR(INDEX('Content Log'!$AE$5:$AE$504,MATCH(TEXT(C$7,"0")&amp;"|5",'Content Log'!$AD$5:$AD$504,0)),"")</f>
        <v/>
      </c>
      <c r="D13" s="68" t="str">
        <f aca="false">IFERROR(INDEX('Content Log'!$AE$5:$AE$504,MATCH(TEXT(D$7,"0")&amp;"|5",'Content Log'!$AD$5:$AD$504,0)),"")</f>
        <v/>
      </c>
      <c r="E13" s="68" t="str">
        <f aca="false">IFERROR(INDEX('Content Log'!$AE$5:$AE$504,MATCH(TEXT(E$7,"0")&amp;"|5",'Content Log'!$AD$5:$AD$504,0)),"")</f>
        <v/>
      </c>
      <c r="F13" s="68" t="str">
        <f aca="false">IFERROR(INDEX('Content Log'!$AE$5:$AE$504,MATCH(TEXT(F$7,"0")&amp;"|5",'Content Log'!$AD$5:$AD$504,0)),"")</f>
        <v/>
      </c>
      <c r="G13" s="68" t="str">
        <f aca="false">IFERROR(INDEX('Content Log'!$AE$5:$AE$504,MATCH(TEXT(G$7,"0")&amp;"|5",'Content Log'!$AD$5:$AD$504,0)),"")</f>
        <v/>
      </c>
      <c r="H13" s="68" t="str">
        <f aca="false">IFERROR(INDEX('Content Log'!$AE$5:$AE$504,MATCH(TEXT(H$7,"0")&amp;"|5",'Content Log'!$AD$5:$AD$504,0)),"")</f>
        <v/>
      </c>
    </row>
    <row r="14" customFormat="false" ht="43.5" hidden="false" customHeight="true" outlineLevel="0" collapsed="false">
      <c r="B14" s="68" t="str">
        <f aca="false">IFERROR(INDEX('Content Log'!$AE$5:$AE$504,MATCH(TEXT(B$7,"0")&amp;"|6",'Content Log'!$AD$5:$AD$504,0)),"")</f>
        <v/>
      </c>
      <c r="C14" s="68" t="str">
        <f aca="false">IFERROR(INDEX('Content Log'!$AE$5:$AE$504,MATCH(TEXT(C$7,"0")&amp;"|6",'Content Log'!$AD$5:$AD$504,0)),"")</f>
        <v/>
      </c>
      <c r="D14" s="68" t="str">
        <f aca="false">IFERROR(INDEX('Content Log'!$AE$5:$AE$504,MATCH(TEXT(D$7,"0")&amp;"|6",'Content Log'!$AD$5:$AD$504,0)),"")</f>
        <v/>
      </c>
      <c r="E14" s="68" t="str">
        <f aca="false">IFERROR(INDEX('Content Log'!$AE$5:$AE$504,MATCH(TEXT(E$7,"0")&amp;"|6",'Content Log'!$AD$5:$AD$504,0)),"")</f>
        <v/>
      </c>
      <c r="F14" s="68" t="str">
        <f aca="false">IFERROR(INDEX('Content Log'!$AE$5:$AE$504,MATCH(TEXT(F$7,"0")&amp;"|6",'Content Log'!$AD$5:$AD$504,0)),"")</f>
        <v/>
      </c>
      <c r="G14" s="68" t="str">
        <f aca="false">IFERROR(INDEX('Content Log'!$AE$5:$AE$504,MATCH(TEXT(G$7,"0")&amp;"|6",'Content Log'!$AD$5:$AD$504,0)),"")</f>
        <v/>
      </c>
      <c r="H14" s="68" t="str">
        <f aca="false">IFERROR(INDEX('Content Log'!$AE$5:$AE$504,MATCH(TEXT(H$7,"0")&amp;"|6",'Content Log'!$AD$5:$AD$504,0)),"")</f>
        <v/>
      </c>
    </row>
    <row r="15" customFormat="false" ht="43.5" hidden="false" customHeight="true" outlineLevel="0" collapsed="false">
      <c r="B15" s="68" t="str">
        <f aca="false">IFERROR(INDEX('Content Log'!$AE$5:$AE$504,MATCH(TEXT(B$7,"0")&amp;"|7",'Content Log'!$AD$5:$AD$504,0)),"")</f>
        <v/>
      </c>
      <c r="C15" s="68" t="str">
        <f aca="false">IFERROR(INDEX('Content Log'!$AE$5:$AE$504,MATCH(TEXT(C$7,"0")&amp;"|7",'Content Log'!$AD$5:$AD$504,0)),"")</f>
        <v/>
      </c>
      <c r="D15" s="68" t="str">
        <f aca="false">IFERROR(INDEX('Content Log'!$AE$5:$AE$504,MATCH(TEXT(D$7,"0")&amp;"|7",'Content Log'!$AD$5:$AD$504,0)),"")</f>
        <v/>
      </c>
      <c r="E15" s="68" t="str">
        <f aca="false">IFERROR(INDEX('Content Log'!$AE$5:$AE$504,MATCH(TEXT(E$7,"0")&amp;"|7",'Content Log'!$AD$5:$AD$504,0)),"")</f>
        <v/>
      </c>
      <c r="F15" s="68" t="str">
        <f aca="false">IFERROR(INDEX('Content Log'!$AE$5:$AE$504,MATCH(TEXT(F$7,"0")&amp;"|7",'Content Log'!$AD$5:$AD$504,0)),"")</f>
        <v/>
      </c>
      <c r="G15" s="68" t="str">
        <f aca="false">IFERROR(INDEX('Content Log'!$AE$5:$AE$504,MATCH(TEXT(G$7,"0")&amp;"|7",'Content Log'!$AD$5:$AD$504,0)),"")</f>
        <v/>
      </c>
      <c r="H15" s="68" t="str">
        <f aca="false">IFERROR(INDEX('Content Log'!$AE$5:$AE$504,MATCH(TEXT(H$7,"0")&amp;"|7",'Content Log'!$AD$5:$AD$504,0)),"")</f>
        <v/>
      </c>
    </row>
    <row r="16" customFormat="false" ht="43.5" hidden="false" customHeight="true" outlineLevel="0" collapsed="false">
      <c r="B16" s="68" t="str">
        <f aca="false">IFERROR(INDEX('Content Log'!$AE$5:$AE$504,MATCH(TEXT(B$7,"0")&amp;"|8",'Content Log'!$AD$5:$AD$504,0)),"")</f>
        <v/>
      </c>
      <c r="C16" s="68" t="str">
        <f aca="false">IFERROR(INDEX('Content Log'!$AE$5:$AE$504,MATCH(TEXT(C$7,"0")&amp;"|8",'Content Log'!$AD$5:$AD$504,0)),"")</f>
        <v/>
      </c>
      <c r="D16" s="68" t="str">
        <f aca="false">IFERROR(INDEX('Content Log'!$AE$5:$AE$504,MATCH(TEXT(D$7,"0")&amp;"|8",'Content Log'!$AD$5:$AD$504,0)),"")</f>
        <v/>
      </c>
      <c r="E16" s="68" t="str">
        <f aca="false">IFERROR(INDEX('Content Log'!$AE$5:$AE$504,MATCH(TEXT(E$7,"0")&amp;"|8",'Content Log'!$AD$5:$AD$504,0)),"")</f>
        <v/>
      </c>
      <c r="F16" s="68" t="str">
        <f aca="false">IFERROR(INDEX('Content Log'!$AE$5:$AE$504,MATCH(TEXT(F$7,"0")&amp;"|8",'Content Log'!$AD$5:$AD$504,0)),"")</f>
        <v/>
      </c>
      <c r="G16" s="68" t="str">
        <f aca="false">IFERROR(INDEX('Content Log'!$AE$5:$AE$504,MATCH(TEXT(G$7,"0")&amp;"|8",'Content Log'!$AD$5:$AD$504,0)),"")</f>
        <v/>
      </c>
      <c r="H16" s="68" t="str">
        <f aca="false">IFERROR(INDEX('Content Log'!$AE$5:$AE$504,MATCH(TEXT(H$7,"0")&amp;"|8",'Content Log'!$AD$5:$AD$504,0)),"")</f>
        <v/>
      </c>
    </row>
    <row r="18" customFormat="false" ht="15" hidden="false" customHeight="false" outlineLevel="0" collapsed="false">
      <c r="B18" s="63" t="s">
        <v>238</v>
      </c>
    </row>
  </sheetData>
  <mergeCells count="1">
    <mergeCell ref="D4:F4"/>
  </mergeCells>
  <conditionalFormatting sqref="B7:H7">
    <cfRule type="expression" priority="2" aboveAverage="0" equalAverage="0" bottom="0" percent="0" rank="0" text="" dxfId="29">
      <formula>B7=TODAY()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E97"/>
    <pageSetUpPr fitToPage="true"/>
  </sheetPr>
  <dimension ref="A1:Q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6"/>
    <col collapsed="false" customWidth="true" hidden="false" outlineLevel="0" max="9" min="3" style="0" width="11.5"/>
    <col collapsed="false" customWidth="true" hidden="false" outlineLevel="0" max="10" min="10" style="0" width="3"/>
    <col collapsed="false" customWidth="true" hidden="false" outlineLevel="0" max="11" min="11" style="0" width="16"/>
    <col collapsed="false" customWidth="true" hidden="false" outlineLevel="0" max="17" min="12" style="0" width="11.5"/>
  </cols>
  <sheetData>
    <row r="1" customFormat="false" ht="33.75" hidden="false" customHeight="true" outlineLevel="0" collapsed="false">
      <c r="B1" s="1" t="s">
        <v>243</v>
      </c>
    </row>
    <row r="2" customFormat="false" ht="19.5" hidden="false" customHeight="true" outlineLevel="0" collapsed="false">
      <c r="A2" s="2"/>
      <c r="B2" s="3" t="s">
        <v>244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24" hidden="false" customHeight="true" outlineLevel="0" collapsed="false">
      <c r="B4" s="53" t="s">
        <v>245</v>
      </c>
      <c r="C4" s="54" t="s">
        <v>116</v>
      </c>
      <c r="D4" s="55" t="n">
        <v>2026</v>
      </c>
      <c r="F4" s="69" t="s">
        <v>246</v>
      </c>
      <c r="G4" s="70" t="n">
        <f aca="false">IF(MATCH(C4,Setup!$R$9:$R$21,0)=13,DATE(D4,1,1),DATE(D4,MATCH(C4,Setup!$R$9:$R$21,0),1))</f>
        <v>46296</v>
      </c>
      <c r="H4" s="69" t="s">
        <v>247</v>
      </c>
      <c r="I4" s="70" t="n">
        <f aca="false">IF(MATCH(C4,Setup!$R$9:$R$21,0)=13,DATE(D4,12,31),EOMONTH(G4,0))</f>
        <v>46326</v>
      </c>
      <c r="K4" s="71" t="n">
        <f aca="false">IF(MATCH(C4,Setup!$R$9:$R$21,0)=13,12,1)</f>
        <v>1</v>
      </c>
      <c r="L4" s="72" t="s">
        <v>248</v>
      </c>
    </row>
    <row r="6" customFormat="false" ht="18" hidden="false" customHeight="true" outlineLevel="0" collapsed="false">
      <c r="B6" s="73" t="s">
        <v>249</v>
      </c>
      <c r="C6" s="73"/>
      <c r="D6" s="74" t="s">
        <v>250</v>
      </c>
      <c r="E6" s="74"/>
      <c r="F6" s="73" t="s">
        <v>251</v>
      </c>
      <c r="G6" s="73"/>
      <c r="H6" s="73" t="s">
        <v>252</v>
      </c>
      <c r="I6" s="73"/>
      <c r="J6" s="75" t="s">
        <v>253</v>
      </c>
      <c r="K6" s="75"/>
      <c r="L6" s="73" t="s">
        <v>254</v>
      </c>
      <c r="M6" s="73"/>
      <c r="N6" s="73" t="s">
        <v>255</v>
      </c>
      <c r="O6" s="73"/>
      <c r="P6" s="73" t="s">
        <v>256</v>
      </c>
      <c r="Q6" s="73"/>
    </row>
    <row r="7" customFormat="false" ht="33.75" hidden="false" customHeight="true" outlineLevel="0" collapsed="false">
      <c r="B7" s="76" t="n">
        <f aca="false">COUNTIFS('Content Log'!$A$5:$A$504,"&gt;="&amp;$G$4,'Content Log'!$A$5:$A$504,"&lt;="&amp;$I$4)</f>
        <v>20</v>
      </c>
      <c r="C7" s="76"/>
      <c r="D7" s="77" t="n">
        <f aca="false">COUNTIFS('Content Log'!$A$5:$A$504,"&gt;="&amp;$G$4,'Content Log'!$A$5:$A$504,"&lt;="&amp;$I$4,'Content Log'!$O$5:$O$504,"Published")</f>
        <v>4</v>
      </c>
      <c r="E7" s="77"/>
      <c r="F7" s="76" t="n">
        <f aca="false">COUNTIFS('Content Log'!$A$5:$A$504,"&gt;="&amp;$G$4,'Content Log'!$A$5:$A$504,"&lt;="&amp;$I$4,'Content Log'!$O$5:$O$504,"Scheduled")</f>
        <v>5</v>
      </c>
      <c r="G7" s="76"/>
      <c r="H7" s="76" t="n">
        <f aca="false">COUNTIFS('Content Log'!$A$5:$A$504,"&gt;="&amp;$G$4,'Content Log'!$A$5:$A$504,"&lt;="&amp;$I$4,'Content Log'!$O$5:$O$504,"Idea")+COUNTIFS('Content Log'!$A$5:$A$504,"&gt;="&amp;$G$4,'Content Log'!$A$5:$A$504,"&lt;="&amp;$I$4,'Content Log'!$O$5:$O$504,"Drafting")+COUNTIFS('Content Log'!$A$5:$A$504,"&gt;="&amp;$G$4,'Content Log'!$A$5:$A$504,"&lt;="&amp;$I$4,'Content Log'!$O$5:$O$504,"In Review")</f>
        <v>11</v>
      </c>
      <c r="I7" s="76"/>
      <c r="J7" s="78" t="n">
        <f aca="true">COUNTIFS('Content Log'!$A$5:$A$504,"&gt;="&amp;$G$4,'Content Log'!$A$5:$A$504,"&lt;="&amp;$I$4,'Content Log'!$A$5:$A$504,"&lt;"&amp;TODAY(),'Content Log'!$O$5:$O$504,"&lt;&gt;Published",'Content Log'!$O$5:$O$504,"&lt;&gt;Repurpose")</f>
        <v>1</v>
      </c>
      <c r="K7" s="78"/>
      <c r="L7" s="79" t="n">
        <f aca="false">SUMIFS('Content Log'!$T$5:$T$504,'Content Log'!$A$5:$A$504,"&gt;="&amp;$G$4,'Content Log'!$A$5:$A$504,"&lt;="&amp;$I$4)</f>
        <v>47100</v>
      </c>
      <c r="M7" s="79"/>
      <c r="N7" s="79" t="n">
        <f aca="false">SUMIFS('Content Log'!$Z$5:$Z$504,'Content Log'!$A$5:$A$504,"&gt;="&amp;$G$4,'Content Log'!$A$5:$A$504,"&lt;="&amp;$I$4)</f>
        <v>5648</v>
      </c>
      <c r="O7" s="79"/>
      <c r="P7" s="80" t="n">
        <f aca="false">IFERROR(SUMIFS('Content Log'!$Z$5:$Z$504,'Content Log'!$A$5:$A$504,"&gt;="&amp;$G$4,'Content Log'!$A$5:$A$504,"&lt;="&amp;$I$4)/SUMIFS('Content Log'!$T$5:$T$504,'Content Log'!$A$5:$A$504,"&gt;="&amp;$G$4,'Content Log'!$A$5:$A$504,"&lt;="&amp;$I$4),0)</f>
        <v>0.119915074309979</v>
      </c>
      <c r="Q7" s="80"/>
    </row>
    <row r="8" customFormat="false" ht="18" hidden="false" customHeight="true" outlineLevel="0" collapsed="false">
      <c r="B8" s="81" t="s">
        <v>257</v>
      </c>
      <c r="C8" s="81"/>
      <c r="D8" s="81" t="str">
        <f aca="false">IFERROR(TEXT(COUNTIFS('Content Log'!$A$5:$A$504,"&gt;="&amp;$G$4,'Content Log'!$A$5:$A$504,"&lt;="&amp;$I$4,'Content Log'!$O$5:$O$504,"Published")/COUNTIFS('Content Log'!$A$5:$A$504,"&gt;="&amp;$G$4,'Content Log'!$A$5:$A$504,"&lt;="&amp;$I$4),"0%")&amp;" complete","—")</f>
        <v>20% complete</v>
      </c>
      <c r="E8" s="81"/>
      <c r="F8" s="81" t="s">
        <v>258</v>
      </c>
      <c r="G8" s="81"/>
      <c r="H8" s="81" t="s">
        <v>259</v>
      </c>
      <c r="I8" s="81"/>
      <c r="J8" s="81" t="s">
        <v>260</v>
      </c>
      <c r="K8" s="81"/>
      <c r="L8" s="81" t="str">
        <f aca="false">"impressions: "&amp;TEXT(SUMIFS('Content Log'!$S$5:$S$504,'Content Log'!$A$5:$A$504,"&gt;="&amp;$G$4,'Content Log'!$A$5:$A$504,"&lt;="&amp;$I$4),"#,##0")</f>
        <v>impressions: 57,800</v>
      </c>
      <c r="M8" s="81"/>
      <c r="N8" s="81" t="s">
        <v>261</v>
      </c>
      <c r="O8" s="81"/>
      <c r="P8" s="81" t="str">
        <f aca="false">"clicks: "&amp;TEXT(SUMIFS('Content Log'!$Y$5:$Y$504,'Content Log'!$A$5:$A$504,"&gt;="&amp;$G$4,'Content Log'!$A$5:$A$504,"&lt;="&amp;$I$4),"#,##0")</f>
        <v>clicks: 457</v>
      </c>
      <c r="Q8" s="81"/>
    </row>
    <row r="11" customFormat="false" ht="15" hidden="false" customHeight="false" outlineLevel="0" collapsed="false">
      <c r="B11" s="82" t="s">
        <v>262</v>
      </c>
      <c r="C11" s="83"/>
      <c r="D11" s="83"/>
      <c r="E11" s="83"/>
      <c r="F11" s="83"/>
      <c r="G11" s="83"/>
      <c r="H11" s="83"/>
      <c r="I11" s="83"/>
      <c r="K11" s="82" t="s">
        <v>263</v>
      </c>
      <c r="L11" s="83"/>
      <c r="M11" s="83"/>
      <c r="N11" s="83"/>
      <c r="O11" s="83"/>
      <c r="P11" s="83"/>
    </row>
    <row r="12" customFormat="false" ht="30" hidden="false" customHeight="true" outlineLevel="0" collapsed="false">
      <c r="B12" s="17" t="s">
        <v>45</v>
      </c>
      <c r="C12" s="17" t="s">
        <v>264</v>
      </c>
      <c r="D12" s="17" t="s">
        <v>97</v>
      </c>
      <c r="E12" s="17" t="s">
        <v>265</v>
      </c>
      <c r="F12" s="17" t="s">
        <v>266</v>
      </c>
      <c r="G12" s="17" t="s">
        <v>145</v>
      </c>
      <c r="H12" s="17" t="s">
        <v>151</v>
      </c>
      <c r="I12" s="17" t="s">
        <v>152</v>
      </c>
      <c r="K12" s="17" t="s">
        <v>132</v>
      </c>
      <c r="L12" s="17" t="s">
        <v>264</v>
      </c>
      <c r="M12" s="17" t="s">
        <v>267</v>
      </c>
      <c r="N12" s="17" t="s">
        <v>268</v>
      </c>
      <c r="O12" s="17" t="s">
        <v>269</v>
      </c>
      <c r="P12" s="17" t="s">
        <v>152</v>
      </c>
    </row>
    <row r="13" customFormat="false" ht="15" hidden="false" customHeight="false" outlineLevel="0" collapsed="false">
      <c r="B13" s="84" t="str">
        <f aca="false">IF(Setup!B9="","",Setup!B9)</f>
        <v>Instagram</v>
      </c>
      <c r="C13" s="85" t="n">
        <f aca="false">IF($B13="","",COUNTIFS('Content Log'!$A$5:$A$504,"&gt;="&amp;$G$4,'Content Log'!$A$5:$A$504,"&lt;="&amp;$I$4,'Content Log'!$D$5:$D$504,$B13))</f>
        <v>6</v>
      </c>
      <c r="D13" s="85" t="n">
        <f aca="false">IF($B13="","",COUNTIFS('Content Log'!$A$5:$A$504,"&gt;="&amp;$G$4,'Content Log'!$A$5:$A$504,"&lt;="&amp;$I$4,'Content Log'!$D$5:$D$504,$B13,'Content Log'!$O$5:$O$504,"Published"))</f>
        <v>1</v>
      </c>
      <c r="E13" s="85" t="n">
        <f aca="false">IF(OR($B13="",Setup!D9=""),"",Setup!D9*$K$4)</f>
        <v>12</v>
      </c>
      <c r="F13" s="86" t="n">
        <f aca="false">IF(OR($B13="",N(E13)=0),"",C13/E13)</f>
        <v>0.5</v>
      </c>
      <c r="G13" s="87" t="n">
        <f aca="false">IF($B13="","",SUMIFS('Content Log'!$T$5:$T$504,'Content Log'!$A$5:$A$504,"&gt;="&amp;$G$4,'Content Log'!$A$5:$A$504,"&lt;="&amp;$I$4,'Content Log'!$D$5:$D$504,$B13))</f>
        <v>11900</v>
      </c>
      <c r="H13" s="87" t="n">
        <f aca="false">IF($B13="","",SUMIFS('Content Log'!$Z$5:$Z$504,'Content Log'!$A$5:$A$504,"&gt;="&amp;$G$4,'Content Log'!$A$5:$A$504,"&lt;="&amp;$I$4,'Content Log'!$D$5:$D$504,$B13))</f>
        <v>1407</v>
      </c>
      <c r="I13" s="88" t="n">
        <f aca="false">IF(OR($B13="",N(G13)=0),"",H13/G13)</f>
        <v>0.118235294117647</v>
      </c>
      <c r="K13" s="84" t="str">
        <f aca="false">IF(Setup!G9="","",Setup!G9)</f>
        <v>Educate</v>
      </c>
      <c r="L13" s="85" t="n">
        <f aca="false">IF($K13="","",COUNTIFS('Content Log'!$A$5:$A$504,"&gt;="&amp;$G$4,'Content Log'!$A$5:$A$504,"&lt;="&amp;$I$4,'Content Log'!$F$5:$F$504,$K13))</f>
        <v>6</v>
      </c>
      <c r="M13" s="86" t="n">
        <f aca="false">IF(OR($K13="",N($B$7)=0),"",L13/$B$7)</f>
        <v>0.3</v>
      </c>
      <c r="N13" s="86" t="n">
        <f aca="false">IF(OR($K13="",Setup!I9=""),"",Setup!I9)</f>
        <v>0.3</v>
      </c>
      <c r="O13" s="89" t="n">
        <f aca="false">IF(OR(M13="",N13=""),"",M13-N13)</f>
        <v>0</v>
      </c>
      <c r="P13" s="88" t="n">
        <f aca="false">IF($K13="","",IFERROR(SUMIFS('Content Log'!$Z$5:$Z$504,'Content Log'!$A$5:$A$504,"&gt;="&amp;$G$4,'Content Log'!$A$5:$A$504,"&lt;="&amp;$I$4,'Content Log'!$F$5:$F$504,$K13)/SUMIFS('Content Log'!$T$5:$T$504,'Content Log'!$A$5:$A$504,"&gt;="&amp;$G$4,'Content Log'!$A$5:$A$504,"&lt;="&amp;$I$4,'Content Log'!$F$5:$F$504,$K13),""))</f>
        <v>0.127567567567568</v>
      </c>
    </row>
    <row r="14" customFormat="false" ht="15" hidden="false" customHeight="false" outlineLevel="0" collapsed="false">
      <c r="B14" s="84" t="str">
        <f aca="false">IF(Setup!B10="","",Setup!B10)</f>
        <v>TikTok</v>
      </c>
      <c r="C14" s="85" t="n">
        <f aca="false">IF($B14="","",COUNTIFS('Content Log'!$A$5:$A$504,"&gt;="&amp;$G$4,'Content Log'!$A$5:$A$504,"&lt;="&amp;$I$4,'Content Log'!$D$5:$D$504,$B14))</f>
        <v>3</v>
      </c>
      <c r="D14" s="85" t="n">
        <f aca="false">IF($B14="","",COUNTIFS('Content Log'!$A$5:$A$504,"&gt;="&amp;$G$4,'Content Log'!$A$5:$A$504,"&lt;="&amp;$I$4,'Content Log'!$D$5:$D$504,$B14,'Content Log'!$O$5:$O$504,"Published"))</f>
        <v>1</v>
      </c>
      <c r="E14" s="85" t="n">
        <f aca="false">IF(OR($B14="",Setup!D10=""),"",Setup!D10*$K$4)</f>
        <v>12</v>
      </c>
      <c r="F14" s="86" t="n">
        <f aca="false">IF(OR($B14="",N(E14)=0),"",C14/E14)</f>
        <v>0.25</v>
      </c>
      <c r="G14" s="87" t="n">
        <f aca="false">IF($B14="","",SUMIFS('Content Log'!$T$5:$T$504,'Content Log'!$A$5:$A$504,"&gt;="&amp;$G$4,'Content Log'!$A$5:$A$504,"&lt;="&amp;$I$4,'Content Log'!$D$5:$D$504,$B14))</f>
        <v>26100</v>
      </c>
      <c r="H14" s="87" t="n">
        <f aca="false">IF($B14="","",SUMIFS('Content Log'!$Z$5:$Z$504,'Content Log'!$A$5:$A$504,"&gt;="&amp;$G$4,'Content Log'!$A$5:$A$504,"&lt;="&amp;$I$4,'Content Log'!$D$5:$D$504,$B14))</f>
        <v>3124</v>
      </c>
      <c r="I14" s="88" t="n">
        <f aca="false">IF(OR($B14="",N(G14)=0),"",H14/G14)</f>
        <v>0.119693486590038</v>
      </c>
      <c r="K14" s="84" t="str">
        <f aca="false">IF(Setup!G10="","",Setup!G10)</f>
        <v>Inspire</v>
      </c>
      <c r="L14" s="85" t="n">
        <f aca="false">IF($K14="","",COUNTIFS('Content Log'!$A$5:$A$504,"&gt;="&amp;$G$4,'Content Log'!$A$5:$A$504,"&lt;="&amp;$I$4,'Content Log'!$F$5:$F$504,$K14))</f>
        <v>2</v>
      </c>
      <c r="M14" s="86" t="n">
        <f aca="false">IF(OR($K14="",N($B$7)=0),"",L14/$B$7)</f>
        <v>0.1</v>
      </c>
      <c r="N14" s="86" t="n">
        <f aca="false">IF(OR($K14="",Setup!I10=""),"",Setup!I10)</f>
        <v>0.2</v>
      </c>
      <c r="O14" s="89" t="n">
        <f aca="false">IF(OR(M14="",N14=""),"",M14-N14)</f>
        <v>-0.1</v>
      </c>
      <c r="P14" s="88" t="str">
        <f aca="false">IF($K14="","",IFERROR(SUMIFS('Content Log'!$Z$5:$Z$504,'Content Log'!$A$5:$A$504,"&gt;="&amp;$G$4,'Content Log'!$A$5:$A$504,"&lt;="&amp;$I$4,'Content Log'!$F$5:$F$504,$K14)/SUMIFS('Content Log'!$T$5:$T$504,'Content Log'!$A$5:$A$504,"&gt;="&amp;$G$4,'Content Log'!$A$5:$A$504,"&lt;="&amp;$I$4,'Content Log'!$F$5:$F$504,$K14),""))</f>
        <v/>
      </c>
    </row>
    <row r="15" customFormat="false" ht="15" hidden="false" customHeight="false" outlineLevel="0" collapsed="false">
      <c r="B15" s="84" t="str">
        <f aca="false">IF(Setup!B11="","",Setup!B11)</f>
        <v>YouTube</v>
      </c>
      <c r="C15" s="85" t="n">
        <f aca="false">IF($B15="","",COUNTIFS('Content Log'!$A$5:$A$504,"&gt;="&amp;$G$4,'Content Log'!$A$5:$A$504,"&lt;="&amp;$I$4,'Content Log'!$D$5:$D$504,$B15))</f>
        <v>2</v>
      </c>
      <c r="D15" s="85" t="n">
        <f aca="false">IF($B15="","",COUNTIFS('Content Log'!$A$5:$A$504,"&gt;="&amp;$G$4,'Content Log'!$A$5:$A$504,"&lt;="&amp;$I$4,'Content Log'!$D$5:$D$504,$B15,'Content Log'!$O$5:$O$504,"Published"))</f>
        <v>1</v>
      </c>
      <c r="E15" s="85" t="n">
        <f aca="false">IF(OR($B15="",Setup!D11=""),"",Setup!D11*$K$4)</f>
        <v>4</v>
      </c>
      <c r="F15" s="86" t="n">
        <f aca="false">IF(OR($B15="",N(E15)=0),"",C15/E15)</f>
        <v>0.5</v>
      </c>
      <c r="G15" s="87" t="n">
        <f aca="false">IF($B15="","",SUMIFS('Content Log'!$T$5:$T$504,'Content Log'!$A$5:$A$504,"&gt;="&amp;$G$4,'Content Log'!$A$5:$A$504,"&lt;="&amp;$I$4,'Content Log'!$D$5:$D$504,$B15))</f>
        <v>7400</v>
      </c>
      <c r="H15" s="87" t="n">
        <f aca="false">IF($B15="","",SUMIFS('Content Log'!$Z$5:$Z$504,'Content Log'!$A$5:$A$504,"&gt;="&amp;$G$4,'Content Log'!$A$5:$A$504,"&lt;="&amp;$I$4,'Content Log'!$D$5:$D$504,$B15))</f>
        <v>944</v>
      </c>
      <c r="I15" s="88" t="n">
        <f aca="false">IF(OR($B15="",N(G15)=0),"",H15/G15)</f>
        <v>0.127567567567568</v>
      </c>
      <c r="K15" s="84" t="str">
        <f aca="false">IF(Setup!G11="","",Setup!G11)</f>
        <v>Entertain</v>
      </c>
      <c r="L15" s="85" t="n">
        <f aca="false">IF($K15="","",COUNTIFS('Content Log'!$A$5:$A$504,"&gt;="&amp;$G$4,'Content Log'!$A$5:$A$504,"&lt;="&amp;$I$4,'Content Log'!$F$5:$F$504,$K15))</f>
        <v>3</v>
      </c>
      <c r="M15" s="86" t="n">
        <f aca="false">IF(OR($K15="",N($B$7)=0),"",L15/$B$7)</f>
        <v>0.15</v>
      </c>
      <c r="N15" s="86" t="n">
        <f aca="false">IF(OR($K15="",Setup!I11=""),"",Setup!I11)</f>
        <v>0.2</v>
      </c>
      <c r="O15" s="89" t="n">
        <f aca="false">IF(OR(M15="",N15=""),"",M15-N15)</f>
        <v>-0.05</v>
      </c>
      <c r="P15" s="88" t="n">
        <f aca="false">IF($K15="","",IFERROR(SUMIFS('Content Log'!$Z$5:$Z$504,'Content Log'!$A$5:$A$504,"&gt;="&amp;$G$4,'Content Log'!$A$5:$A$504,"&lt;="&amp;$I$4,'Content Log'!$F$5:$F$504,$K15)/SUMIFS('Content Log'!$T$5:$T$504,'Content Log'!$A$5:$A$504,"&gt;="&amp;$G$4,'Content Log'!$A$5:$A$504,"&lt;="&amp;$I$4,'Content Log'!$F$5:$F$504,$K15),""))</f>
        <v>0.119693486590038</v>
      </c>
    </row>
    <row r="16" customFormat="false" ht="15" hidden="false" customHeight="false" outlineLevel="0" collapsed="false">
      <c r="B16" s="84" t="str">
        <f aca="false">IF(Setup!B12="","",Setup!B12)</f>
        <v>LinkedIn</v>
      </c>
      <c r="C16" s="85" t="n">
        <f aca="false">IF($B16="","",COUNTIFS('Content Log'!$A$5:$A$504,"&gt;="&amp;$G$4,'Content Log'!$A$5:$A$504,"&lt;="&amp;$I$4,'Content Log'!$D$5:$D$504,$B16))</f>
        <v>2</v>
      </c>
      <c r="D16" s="85" t="n">
        <f aca="false">IF($B16="","",COUNTIFS('Content Log'!$A$5:$A$504,"&gt;="&amp;$G$4,'Content Log'!$A$5:$A$504,"&lt;="&amp;$I$4,'Content Log'!$D$5:$D$504,$B16,'Content Log'!$O$5:$O$504,"Published"))</f>
        <v>0</v>
      </c>
      <c r="E16" s="85" t="n">
        <f aca="false">IF(OR($B16="",Setup!D12=""),"",Setup!D12*$K$4)</f>
        <v>8</v>
      </c>
      <c r="F16" s="86" t="n">
        <f aca="false">IF(OR($B16="",N(E16)=0),"",C16/E16)</f>
        <v>0.25</v>
      </c>
      <c r="G16" s="87" t="n">
        <f aca="false">IF($B16="","",SUMIFS('Content Log'!$T$5:$T$504,'Content Log'!$A$5:$A$504,"&gt;="&amp;$G$4,'Content Log'!$A$5:$A$504,"&lt;="&amp;$I$4,'Content Log'!$D$5:$D$504,$B16))</f>
        <v>0</v>
      </c>
      <c r="H16" s="87" t="n">
        <f aca="false">IF($B16="","",SUMIFS('Content Log'!$Z$5:$Z$504,'Content Log'!$A$5:$A$504,"&gt;="&amp;$G$4,'Content Log'!$A$5:$A$504,"&lt;="&amp;$I$4,'Content Log'!$D$5:$D$504,$B16))</f>
        <v>0</v>
      </c>
      <c r="I16" s="88" t="str">
        <f aca="false">IF(OR($B16="",N(G16)=0),"",H16/G16)</f>
        <v/>
      </c>
      <c r="K16" s="84" t="str">
        <f aca="false">IF(Setup!G12="","",Setup!G12)</f>
        <v>Promote</v>
      </c>
      <c r="L16" s="85" t="n">
        <f aca="false">IF($K16="","",COUNTIFS('Content Log'!$A$5:$A$504,"&gt;="&amp;$G$4,'Content Log'!$A$5:$A$504,"&lt;="&amp;$I$4,'Content Log'!$F$5:$F$504,$K16))</f>
        <v>5</v>
      </c>
      <c r="M16" s="86" t="n">
        <f aca="false">IF(OR($K16="",N($B$7)=0),"",L16/$B$7)</f>
        <v>0.25</v>
      </c>
      <c r="N16" s="86" t="n">
        <f aca="false">IF(OR($K16="",Setup!I12=""),"",Setup!I12)</f>
        <v>0.15</v>
      </c>
      <c r="O16" s="89" t="n">
        <f aca="false">IF(OR(M16="",N16=""),"",M16-N16)</f>
        <v>0.1</v>
      </c>
      <c r="P16" s="88" t="n">
        <f aca="false">IF($K16="","",IFERROR(SUMIFS('Content Log'!$Z$5:$Z$504,'Content Log'!$A$5:$A$504,"&gt;="&amp;$G$4,'Content Log'!$A$5:$A$504,"&lt;="&amp;$I$4,'Content Log'!$F$5:$F$504,$K16)/SUMIFS('Content Log'!$T$5:$T$504,'Content Log'!$A$5:$A$504,"&gt;="&amp;$G$4,'Content Log'!$A$5:$A$504,"&lt;="&amp;$I$4,'Content Log'!$F$5:$F$504,$K16),""))</f>
        <v>0.118235294117647</v>
      </c>
    </row>
    <row r="17" customFormat="false" ht="15" hidden="false" customHeight="false" outlineLevel="0" collapsed="false">
      <c r="B17" s="84" t="str">
        <f aca="false">IF(Setup!B13="","",Setup!B13)</f>
        <v>Facebook</v>
      </c>
      <c r="C17" s="85" t="n">
        <f aca="false">IF($B17="","",COUNTIFS('Content Log'!$A$5:$A$504,"&gt;="&amp;$G$4,'Content Log'!$A$5:$A$504,"&lt;="&amp;$I$4,'Content Log'!$D$5:$D$504,$B17))</f>
        <v>2</v>
      </c>
      <c r="D17" s="85" t="n">
        <f aca="false">IF($B17="","",COUNTIFS('Content Log'!$A$5:$A$504,"&gt;="&amp;$G$4,'Content Log'!$A$5:$A$504,"&lt;="&amp;$I$4,'Content Log'!$D$5:$D$504,$B17,'Content Log'!$O$5:$O$504,"Published"))</f>
        <v>0</v>
      </c>
      <c r="E17" s="85" t="n">
        <f aca="false">IF(OR($B17="",Setup!D13=""),"",Setup!D13*$K$4)</f>
        <v>8</v>
      </c>
      <c r="F17" s="86" t="n">
        <f aca="false">IF(OR($B17="",N(E17)=0),"",C17/E17)</f>
        <v>0.25</v>
      </c>
      <c r="G17" s="87" t="n">
        <f aca="false">IF($B17="","",SUMIFS('Content Log'!$T$5:$T$504,'Content Log'!$A$5:$A$504,"&gt;="&amp;$G$4,'Content Log'!$A$5:$A$504,"&lt;="&amp;$I$4,'Content Log'!$D$5:$D$504,$B17))</f>
        <v>0</v>
      </c>
      <c r="H17" s="87" t="n">
        <f aca="false">IF($B17="","",SUMIFS('Content Log'!$Z$5:$Z$504,'Content Log'!$A$5:$A$504,"&gt;="&amp;$G$4,'Content Log'!$A$5:$A$504,"&lt;="&amp;$I$4,'Content Log'!$D$5:$D$504,$B17))</f>
        <v>0</v>
      </c>
      <c r="I17" s="88" t="str">
        <f aca="false">IF(OR($B17="",N(G17)=0),"",H17/G17)</f>
        <v/>
      </c>
      <c r="K17" s="84" t="str">
        <f aca="false">IF(Setup!G13="","",Setup!G13)</f>
        <v>Community</v>
      </c>
      <c r="L17" s="85" t="n">
        <f aca="false">IF($K17="","",COUNTIFS('Content Log'!$A$5:$A$504,"&gt;="&amp;$G$4,'Content Log'!$A$5:$A$504,"&lt;="&amp;$I$4,'Content Log'!$F$5:$F$504,$K17))</f>
        <v>4</v>
      </c>
      <c r="M17" s="86" t="n">
        <f aca="false">IF(OR($K17="",N($B$7)=0),"",L17/$B$7)</f>
        <v>0.2</v>
      </c>
      <c r="N17" s="86" t="n">
        <f aca="false">IF(OR($K17="",Setup!I13=""),"",Setup!I13)</f>
        <v>0.15</v>
      </c>
      <c r="O17" s="89" t="n">
        <f aca="false">IF(OR(M17="",N17=""),"",M17-N17)</f>
        <v>0.05</v>
      </c>
      <c r="P17" s="88" t="n">
        <f aca="false">IF($K17="","",IFERROR(SUMIFS('Content Log'!$Z$5:$Z$504,'Content Log'!$A$5:$A$504,"&gt;="&amp;$G$4,'Content Log'!$A$5:$A$504,"&lt;="&amp;$I$4,'Content Log'!$F$5:$F$504,$K17)/SUMIFS('Content Log'!$T$5:$T$504,'Content Log'!$A$5:$A$504,"&gt;="&amp;$G$4,'Content Log'!$A$5:$A$504,"&lt;="&amp;$I$4,'Content Log'!$F$5:$F$504,$K17),""))</f>
        <v>0.101764705882353</v>
      </c>
    </row>
    <row r="18" customFormat="false" ht="15" hidden="false" customHeight="false" outlineLevel="0" collapsed="false">
      <c r="B18" s="84" t="str">
        <f aca="false">IF(Setup!B14="","",Setup!B14)</f>
        <v>Pinterest</v>
      </c>
      <c r="C18" s="85" t="n">
        <f aca="false">IF($B18="","",COUNTIFS('Content Log'!$A$5:$A$504,"&gt;="&amp;$G$4,'Content Log'!$A$5:$A$504,"&lt;="&amp;$I$4,'Content Log'!$D$5:$D$504,$B18))</f>
        <v>2</v>
      </c>
      <c r="D18" s="85" t="n">
        <f aca="false">IF($B18="","",COUNTIFS('Content Log'!$A$5:$A$504,"&gt;="&amp;$G$4,'Content Log'!$A$5:$A$504,"&lt;="&amp;$I$4,'Content Log'!$D$5:$D$504,$B18,'Content Log'!$O$5:$O$504,"Published"))</f>
        <v>0</v>
      </c>
      <c r="E18" s="85" t="n">
        <f aca="false">IF(OR($B18="",Setup!D14=""),"",Setup!D14*$K$4)</f>
        <v>10</v>
      </c>
      <c r="F18" s="86" t="n">
        <f aca="false">IF(OR($B18="",N(E18)=0),"",C18/E18)</f>
        <v>0.2</v>
      </c>
      <c r="G18" s="87" t="n">
        <f aca="false">IF($B18="","",SUMIFS('Content Log'!$T$5:$T$504,'Content Log'!$A$5:$A$504,"&gt;="&amp;$G$4,'Content Log'!$A$5:$A$504,"&lt;="&amp;$I$4,'Content Log'!$D$5:$D$504,$B18))</f>
        <v>0</v>
      </c>
      <c r="H18" s="87" t="n">
        <f aca="false">IF($B18="","",SUMIFS('Content Log'!$Z$5:$Z$504,'Content Log'!$A$5:$A$504,"&gt;="&amp;$G$4,'Content Log'!$A$5:$A$504,"&lt;="&amp;$I$4,'Content Log'!$D$5:$D$504,$B18))</f>
        <v>0</v>
      </c>
      <c r="I18" s="88" t="str">
        <f aca="false">IF(OR($B18="",N(G18)=0),"",H18/G18)</f>
        <v/>
      </c>
      <c r="K18" s="84" t="str">
        <f aca="false">IF(Setup!G14="","",Setup!G14)</f>
        <v/>
      </c>
      <c r="L18" s="85" t="str">
        <f aca="false">IF($K18="","",COUNTIFS('Content Log'!$A$5:$A$504,"&gt;="&amp;$G$4,'Content Log'!$A$5:$A$504,"&lt;="&amp;$I$4,'Content Log'!$F$5:$F$504,$K18))</f>
        <v/>
      </c>
      <c r="M18" s="86" t="str">
        <f aca="false">IF(OR($K18="",N($B$7)=0),"",L18/$B$7)</f>
        <v/>
      </c>
      <c r="N18" s="86" t="str">
        <f aca="false">IF(OR($K18="",Setup!I14=""),"",Setup!I14)</f>
        <v/>
      </c>
      <c r="O18" s="89" t="str">
        <f aca="false">IF(OR(M18="",N18=""),"",M18-N18)</f>
        <v/>
      </c>
      <c r="P18" s="88" t="str">
        <f aca="false">IF($K18="","",IFERROR(SUMIFS('Content Log'!$Z$5:$Z$504,'Content Log'!$A$5:$A$504,"&gt;="&amp;$G$4,'Content Log'!$A$5:$A$504,"&lt;="&amp;$I$4,'Content Log'!$F$5:$F$504,$K18)/SUMIFS('Content Log'!$T$5:$T$504,'Content Log'!$A$5:$A$504,"&gt;="&amp;$G$4,'Content Log'!$A$5:$A$504,"&lt;="&amp;$I$4,'Content Log'!$F$5:$F$504,$K18),""))</f>
        <v/>
      </c>
    </row>
    <row r="19" customFormat="false" ht="15" hidden="false" customHeight="false" outlineLevel="0" collapsed="false">
      <c r="B19" s="84" t="str">
        <f aca="false">IF(Setup!B15="","",Setup!B15)</f>
        <v>X / Twitter</v>
      </c>
      <c r="C19" s="85" t="n">
        <f aca="false">IF($B19="","",COUNTIFS('Content Log'!$A$5:$A$504,"&gt;="&amp;$G$4,'Content Log'!$A$5:$A$504,"&lt;="&amp;$I$4,'Content Log'!$D$5:$D$504,$B19))</f>
        <v>1</v>
      </c>
      <c r="D19" s="85" t="n">
        <f aca="false">IF($B19="","",COUNTIFS('Content Log'!$A$5:$A$504,"&gt;="&amp;$G$4,'Content Log'!$A$5:$A$504,"&lt;="&amp;$I$4,'Content Log'!$D$5:$D$504,$B19,'Content Log'!$O$5:$O$504,"Published"))</f>
        <v>0</v>
      </c>
      <c r="E19" s="85" t="n">
        <f aca="false">IF(OR($B19="",Setup!D15=""),"",Setup!D15*$K$4)</f>
        <v>12</v>
      </c>
      <c r="F19" s="86" t="n">
        <f aca="false">IF(OR($B19="",N(E19)=0),"",C19/E19)</f>
        <v>0.0833333333333333</v>
      </c>
      <c r="G19" s="87" t="n">
        <f aca="false">IF($B19="","",SUMIFS('Content Log'!$T$5:$T$504,'Content Log'!$A$5:$A$504,"&gt;="&amp;$G$4,'Content Log'!$A$5:$A$504,"&lt;="&amp;$I$4,'Content Log'!$D$5:$D$504,$B19))</f>
        <v>0</v>
      </c>
      <c r="H19" s="87" t="n">
        <f aca="false">IF($B19="","",SUMIFS('Content Log'!$Z$5:$Z$504,'Content Log'!$A$5:$A$504,"&gt;="&amp;$G$4,'Content Log'!$A$5:$A$504,"&lt;="&amp;$I$4,'Content Log'!$D$5:$D$504,$B19))</f>
        <v>0</v>
      </c>
      <c r="I19" s="88" t="str">
        <f aca="false">IF(OR($B19="",N(G19)=0),"",H19/G19)</f>
        <v/>
      </c>
      <c r="K19" s="84" t="str">
        <f aca="false">IF(Setup!G15="","",Setup!G15)</f>
        <v/>
      </c>
      <c r="L19" s="85" t="str">
        <f aca="false">IF($K19="","",COUNTIFS('Content Log'!$A$5:$A$504,"&gt;="&amp;$G$4,'Content Log'!$A$5:$A$504,"&lt;="&amp;$I$4,'Content Log'!$F$5:$F$504,$K19))</f>
        <v/>
      </c>
      <c r="M19" s="86" t="str">
        <f aca="false">IF(OR($K19="",N($B$7)=0),"",L19/$B$7)</f>
        <v/>
      </c>
      <c r="N19" s="86" t="str">
        <f aca="false">IF(OR($K19="",Setup!I15=""),"",Setup!I15)</f>
        <v/>
      </c>
      <c r="O19" s="89" t="str">
        <f aca="false">IF(OR(M19="",N19=""),"",M19-N19)</f>
        <v/>
      </c>
      <c r="P19" s="88" t="str">
        <f aca="false">IF($K19="","",IFERROR(SUMIFS('Content Log'!$Z$5:$Z$504,'Content Log'!$A$5:$A$504,"&gt;="&amp;$G$4,'Content Log'!$A$5:$A$504,"&lt;="&amp;$I$4,'Content Log'!$F$5:$F$504,$K19)/SUMIFS('Content Log'!$T$5:$T$504,'Content Log'!$A$5:$A$504,"&gt;="&amp;$G$4,'Content Log'!$A$5:$A$504,"&lt;="&amp;$I$4,'Content Log'!$F$5:$F$504,$K19),""))</f>
        <v/>
      </c>
    </row>
    <row r="20" customFormat="false" ht="15" hidden="false" customHeight="false" outlineLevel="0" collapsed="false">
      <c r="B20" s="84" t="str">
        <f aca="false">IF(Setup!B16="","",Setup!B16)</f>
        <v>Threads</v>
      </c>
      <c r="C20" s="85" t="n">
        <f aca="false">IF($B20="","",COUNTIFS('Content Log'!$A$5:$A$504,"&gt;="&amp;$G$4,'Content Log'!$A$5:$A$504,"&lt;="&amp;$I$4,'Content Log'!$D$5:$D$504,$B20))</f>
        <v>2</v>
      </c>
      <c r="D20" s="85" t="n">
        <f aca="false">IF($B20="","",COUNTIFS('Content Log'!$A$5:$A$504,"&gt;="&amp;$G$4,'Content Log'!$A$5:$A$504,"&lt;="&amp;$I$4,'Content Log'!$D$5:$D$504,$B20,'Content Log'!$O$5:$O$504,"Published"))</f>
        <v>1</v>
      </c>
      <c r="E20" s="85" t="n">
        <f aca="false">IF(OR($B20="",Setup!D16=""),"",Setup!D16*$K$4)</f>
        <v>8</v>
      </c>
      <c r="F20" s="86" t="n">
        <f aca="false">IF(OR($B20="",N(E20)=0),"",C20/E20)</f>
        <v>0.25</v>
      </c>
      <c r="G20" s="87" t="n">
        <f aca="false">IF($B20="","",SUMIFS('Content Log'!$T$5:$T$504,'Content Log'!$A$5:$A$504,"&gt;="&amp;$G$4,'Content Log'!$A$5:$A$504,"&lt;="&amp;$I$4,'Content Log'!$D$5:$D$504,$B20))</f>
        <v>1700</v>
      </c>
      <c r="H20" s="87" t="n">
        <f aca="false">IF($B20="","",SUMIFS('Content Log'!$Z$5:$Z$504,'Content Log'!$A$5:$A$504,"&gt;="&amp;$G$4,'Content Log'!$A$5:$A$504,"&lt;="&amp;$I$4,'Content Log'!$D$5:$D$504,$B20))</f>
        <v>173</v>
      </c>
      <c r="I20" s="88" t="n">
        <f aca="false">IF(OR($B20="",N(G20)=0),"",H20/G20)</f>
        <v>0.101764705882353</v>
      </c>
      <c r="K20" s="84" t="str">
        <f aca="false">IF(Setup!G16="","",Setup!G16)</f>
        <v/>
      </c>
      <c r="L20" s="85" t="str">
        <f aca="false">IF($K20="","",COUNTIFS('Content Log'!$A$5:$A$504,"&gt;="&amp;$G$4,'Content Log'!$A$5:$A$504,"&lt;="&amp;$I$4,'Content Log'!$F$5:$F$504,$K20))</f>
        <v/>
      </c>
      <c r="M20" s="86" t="str">
        <f aca="false">IF(OR($K20="",N($B$7)=0),"",L20/$B$7)</f>
        <v/>
      </c>
      <c r="N20" s="86" t="str">
        <f aca="false">IF(OR($K20="",Setup!I16=""),"",Setup!I16)</f>
        <v/>
      </c>
      <c r="O20" s="89" t="str">
        <f aca="false">IF(OR(M20="",N20=""),"",M20-N20)</f>
        <v/>
      </c>
      <c r="P20" s="88" t="str">
        <f aca="false">IF($K20="","",IFERROR(SUMIFS('Content Log'!$Z$5:$Z$504,'Content Log'!$A$5:$A$504,"&gt;="&amp;$G$4,'Content Log'!$A$5:$A$504,"&lt;="&amp;$I$4,'Content Log'!$F$5:$F$504,$K20)/SUMIFS('Content Log'!$T$5:$T$504,'Content Log'!$A$5:$A$504,"&gt;="&amp;$G$4,'Content Log'!$A$5:$A$504,"&lt;="&amp;$I$4,'Content Log'!$F$5:$F$504,$K20),""))</f>
        <v/>
      </c>
    </row>
    <row r="21" customFormat="false" ht="15" hidden="false" customHeight="false" outlineLevel="0" collapsed="false">
      <c r="B21" s="84" t="str">
        <f aca="false">IF(Setup!B17="","",Setup!B17)</f>
        <v/>
      </c>
      <c r="C21" s="85" t="str">
        <f aca="false">IF($B21="","",COUNTIFS('Content Log'!$A$5:$A$504,"&gt;="&amp;$G$4,'Content Log'!$A$5:$A$504,"&lt;="&amp;$I$4,'Content Log'!$D$5:$D$504,$B21))</f>
        <v/>
      </c>
      <c r="D21" s="85" t="str">
        <f aca="false">IF($B21="","",COUNTIFS('Content Log'!$A$5:$A$504,"&gt;="&amp;$G$4,'Content Log'!$A$5:$A$504,"&lt;="&amp;$I$4,'Content Log'!$D$5:$D$504,$B21,'Content Log'!$O$5:$O$504,"Published"))</f>
        <v/>
      </c>
      <c r="E21" s="85" t="str">
        <f aca="false">IF(OR($B21="",Setup!D17=""),"",Setup!D17*$K$4)</f>
        <v/>
      </c>
      <c r="F21" s="86" t="str">
        <f aca="false">IF(OR($B21="",N(E21)=0),"",C21/E21)</f>
        <v/>
      </c>
      <c r="G21" s="87" t="str">
        <f aca="false">IF($B21="","",SUMIFS('Content Log'!$T$5:$T$504,'Content Log'!$A$5:$A$504,"&gt;="&amp;$G$4,'Content Log'!$A$5:$A$504,"&lt;="&amp;$I$4,'Content Log'!$D$5:$D$504,$B21))</f>
        <v/>
      </c>
      <c r="H21" s="87" t="str">
        <f aca="false">IF($B21="","",SUMIFS('Content Log'!$Z$5:$Z$504,'Content Log'!$A$5:$A$504,"&gt;="&amp;$G$4,'Content Log'!$A$5:$A$504,"&lt;="&amp;$I$4,'Content Log'!$D$5:$D$504,$B21))</f>
        <v/>
      </c>
      <c r="I21" s="88" t="str">
        <f aca="false">IF(OR($B21="",N(G21)=0),"",H21/G21)</f>
        <v/>
      </c>
      <c r="K21" s="34" t="s">
        <v>270</v>
      </c>
    </row>
    <row r="22" customFormat="false" ht="15" hidden="false" customHeight="false" outlineLevel="0" collapsed="false">
      <c r="B22" s="84" t="str">
        <f aca="false">IF(Setup!B18="","",Setup!B18)</f>
        <v/>
      </c>
      <c r="C22" s="85" t="str">
        <f aca="false">IF($B22="","",COUNTIFS('Content Log'!$A$5:$A$504,"&gt;="&amp;$G$4,'Content Log'!$A$5:$A$504,"&lt;="&amp;$I$4,'Content Log'!$D$5:$D$504,$B22))</f>
        <v/>
      </c>
      <c r="D22" s="85" t="str">
        <f aca="false">IF($B22="","",COUNTIFS('Content Log'!$A$5:$A$504,"&gt;="&amp;$G$4,'Content Log'!$A$5:$A$504,"&lt;="&amp;$I$4,'Content Log'!$D$5:$D$504,$B22,'Content Log'!$O$5:$O$504,"Published"))</f>
        <v/>
      </c>
      <c r="E22" s="85" t="str">
        <f aca="false">IF(OR($B22="",Setup!D18=""),"",Setup!D18*$K$4)</f>
        <v/>
      </c>
      <c r="F22" s="86" t="str">
        <f aca="false">IF(OR($B22="",N(E22)=0),"",C22/E22)</f>
        <v/>
      </c>
      <c r="G22" s="87" t="str">
        <f aca="false">IF($B22="","",SUMIFS('Content Log'!$T$5:$T$504,'Content Log'!$A$5:$A$504,"&gt;="&amp;$G$4,'Content Log'!$A$5:$A$504,"&lt;="&amp;$I$4,'Content Log'!$D$5:$D$504,$B22))</f>
        <v/>
      </c>
      <c r="H22" s="87" t="str">
        <f aca="false">IF($B22="","",SUMIFS('Content Log'!$Z$5:$Z$504,'Content Log'!$A$5:$A$504,"&gt;="&amp;$G$4,'Content Log'!$A$5:$A$504,"&lt;="&amp;$I$4,'Content Log'!$D$5:$D$504,$B22))</f>
        <v/>
      </c>
      <c r="I22" s="88" t="str">
        <f aca="false">IF(OR($B22="",N(G22)=0),"",H22/G22)</f>
        <v/>
      </c>
    </row>
    <row r="25" customFormat="false" ht="15" hidden="false" customHeight="false" outlineLevel="0" collapsed="false">
      <c r="B25" s="82" t="s">
        <v>271</v>
      </c>
      <c r="C25" s="83"/>
      <c r="D25" s="83"/>
      <c r="E25" s="83"/>
      <c r="F25" s="83"/>
      <c r="K25" s="82" t="s">
        <v>272</v>
      </c>
      <c r="L25" s="83"/>
      <c r="M25" s="83"/>
      <c r="N25" s="83"/>
      <c r="O25" s="83"/>
    </row>
    <row r="26" customFormat="false" ht="30" hidden="false" customHeight="true" outlineLevel="0" collapsed="false">
      <c r="B26" s="17" t="s">
        <v>131</v>
      </c>
      <c r="C26" s="17" t="s">
        <v>264</v>
      </c>
      <c r="D26" s="17" t="s">
        <v>145</v>
      </c>
      <c r="E26" s="17" t="s">
        <v>151</v>
      </c>
      <c r="F26" s="17" t="s">
        <v>152</v>
      </c>
      <c r="K26" s="17" t="s">
        <v>129</v>
      </c>
      <c r="L26" s="17" t="s">
        <v>264</v>
      </c>
      <c r="M26" s="17" t="s">
        <v>145</v>
      </c>
      <c r="N26" s="17" t="s">
        <v>151</v>
      </c>
      <c r="O26" s="17" t="s">
        <v>152</v>
      </c>
    </row>
    <row r="27" customFormat="false" ht="15" hidden="false" customHeight="false" outlineLevel="0" collapsed="false">
      <c r="B27" s="84" t="str">
        <f aca="false">IF(Setup!K9="","",Setup!K9)</f>
        <v>Reel / Short video</v>
      </c>
      <c r="C27" s="85" t="n">
        <f aca="false">IF($B27="","",COUNTIFS('Content Log'!$A$5:$A$504,"&gt;="&amp;$G$4,'Content Log'!$A$5:$A$504,"&lt;="&amp;$I$4,'Content Log'!$E$5:$E$504,$B27))</f>
        <v>6</v>
      </c>
      <c r="D27" s="87" t="n">
        <f aca="false">IF($B27="","",SUMIFS('Content Log'!$T$5:$T$504,'Content Log'!$A$5:$A$504,"&gt;="&amp;$G$4,'Content Log'!$A$5:$A$504,"&lt;="&amp;$I$4,'Content Log'!$E$5:$E$504,$B27))</f>
        <v>38000</v>
      </c>
      <c r="E27" s="87" t="n">
        <f aca="false">IF($B27="","",SUMIFS('Content Log'!$Z$5:$Z$504,'Content Log'!$A$5:$A$504,"&gt;="&amp;$G$4,'Content Log'!$A$5:$A$504,"&lt;="&amp;$I$4,'Content Log'!$E$5:$E$504,$B27))</f>
        <v>4531</v>
      </c>
      <c r="F27" s="88" t="n">
        <f aca="false">IF(OR($B27="",N(D27)=0),"",E27/D27)</f>
        <v>0.119236842105263</v>
      </c>
      <c r="K27" s="84" t="s">
        <v>273</v>
      </c>
      <c r="L27" s="85" t="n">
        <f aca="false">COUNTIFS('Content Log'!$A$5:$A$504,"&gt;="&amp;$G$4,'Content Log'!$A$5:$A$504,"&lt;="&amp;$I$4,'Content Log'!$AG$5:$AG$504,1)</f>
        <v>2</v>
      </c>
      <c r="M27" s="87" t="n">
        <f aca="false">SUMIFS('Content Log'!$T$5:$T$504,'Content Log'!$A$5:$A$504,"&gt;="&amp;$G$4,'Content Log'!$A$5:$A$504,"&lt;="&amp;$I$4,'Content Log'!$AG$5:$AG$504,1)</f>
        <v>0</v>
      </c>
      <c r="N27" s="87" t="n">
        <f aca="false">SUMIFS('Content Log'!$Z$5:$Z$504,'Content Log'!$A$5:$A$504,"&gt;="&amp;$G$4,'Content Log'!$A$5:$A$504,"&lt;="&amp;$I$4,'Content Log'!$AG$5:$AG$504,1)</f>
        <v>0</v>
      </c>
      <c r="O27" s="88" t="str">
        <f aca="false">IF(N(M27)=0,"",N27/M27)</f>
        <v/>
      </c>
    </row>
    <row r="28" customFormat="false" ht="15" hidden="false" customHeight="false" outlineLevel="0" collapsed="false">
      <c r="B28" s="84" t="str">
        <f aca="false">IF(Setup!K10="","",Setup!K10)</f>
        <v>Carousel</v>
      </c>
      <c r="C28" s="85" t="n">
        <f aca="false">IF($B28="","",COUNTIFS('Content Log'!$A$5:$A$504,"&gt;="&amp;$G$4,'Content Log'!$A$5:$A$504,"&lt;="&amp;$I$4,'Content Log'!$E$5:$E$504,$B28))</f>
        <v>3</v>
      </c>
      <c r="D28" s="87" t="n">
        <f aca="false">IF($B28="","",SUMIFS('Content Log'!$T$5:$T$504,'Content Log'!$A$5:$A$504,"&gt;="&amp;$G$4,'Content Log'!$A$5:$A$504,"&lt;="&amp;$I$4,'Content Log'!$E$5:$E$504,$B28))</f>
        <v>0</v>
      </c>
      <c r="E28" s="87" t="n">
        <f aca="false">IF($B28="","",SUMIFS('Content Log'!$Z$5:$Z$504,'Content Log'!$A$5:$A$504,"&gt;="&amp;$G$4,'Content Log'!$A$5:$A$504,"&lt;="&amp;$I$4,'Content Log'!$E$5:$E$504,$B28))</f>
        <v>0</v>
      </c>
      <c r="F28" s="88" t="str">
        <f aca="false">IF(OR($B28="",N(D28)=0),"",E28/D28)</f>
        <v/>
      </c>
      <c r="K28" s="84" t="s">
        <v>274</v>
      </c>
      <c r="L28" s="85" t="n">
        <f aca="false">COUNTIFS('Content Log'!$A$5:$A$504,"&gt;="&amp;$G$4,'Content Log'!$A$5:$A$504,"&lt;="&amp;$I$4,'Content Log'!$AG$5:$AG$504,2)</f>
        <v>4</v>
      </c>
      <c r="M28" s="87" t="n">
        <f aca="false">SUMIFS('Content Log'!$T$5:$T$504,'Content Log'!$A$5:$A$504,"&gt;="&amp;$G$4,'Content Log'!$A$5:$A$504,"&lt;="&amp;$I$4,'Content Log'!$AG$5:$AG$504,2)</f>
        <v>0</v>
      </c>
      <c r="N28" s="87" t="n">
        <f aca="false">SUMIFS('Content Log'!$Z$5:$Z$504,'Content Log'!$A$5:$A$504,"&gt;="&amp;$G$4,'Content Log'!$A$5:$A$504,"&lt;="&amp;$I$4,'Content Log'!$AG$5:$AG$504,2)</f>
        <v>0</v>
      </c>
      <c r="O28" s="88" t="str">
        <f aca="false">IF(N(M28)=0,"",N28/M28)</f>
        <v/>
      </c>
    </row>
    <row r="29" customFormat="false" ht="15" hidden="false" customHeight="false" outlineLevel="0" collapsed="false">
      <c r="B29" s="84" t="str">
        <f aca="false">IF(Setup!K11="","",Setup!K11)</f>
        <v>Single image</v>
      </c>
      <c r="C29" s="85" t="n">
        <f aca="false">IF($B29="","",COUNTIFS('Content Log'!$A$5:$A$504,"&gt;="&amp;$G$4,'Content Log'!$A$5:$A$504,"&lt;="&amp;$I$4,'Content Log'!$E$5:$E$504,$B29))</f>
        <v>2</v>
      </c>
      <c r="D29" s="87" t="n">
        <f aca="false">IF($B29="","",SUMIFS('Content Log'!$T$5:$T$504,'Content Log'!$A$5:$A$504,"&gt;="&amp;$G$4,'Content Log'!$A$5:$A$504,"&lt;="&amp;$I$4,'Content Log'!$E$5:$E$504,$B29))</f>
        <v>0</v>
      </c>
      <c r="E29" s="87" t="n">
        <f aca="false">IF($B29="","",SUMIFS('Content Log'!$Z$5:$Z$504,'Content Log'!$A$5:$A$504,"&gt;="&amp;$G$4,'Content Log'!$A$5:$A$504,"&lt;="&amp;$I$4,'Content Log'!$E$5:$E$504,$B29))</f>
        <v>0</v>
      </c>
      <c r="F29" s="88" t="str">
        <f aca="false">IF(OR($B29="",N(D29)=0),"",E29/D29)</f>
        <v/>
      </c>
      <c r="K29" s="84" t="s">
        <v>275</v>
      </c>
      <c r="L29" s="85" t="n">
        <f aca="false">COUNTIFS('Content Log'!$A$5:$A$504,"&gt;="&amp;$G$4,'Content Log'!$A$5:$A$504,"&lt;="&amp;$I$4,'Content Log'!$AG$5:$AG$504,3)</f>
        <v>1</v>
      </c>
      <c r="M29" s="87" t="n">
        <f aca="false">SUMIFS('Content Log'!$T$5:$T$504,'Content Log'!$A$5:$A$504,"&gt;="&amp;$G$4,'Content Log'!$A$5:$A$504,"&lt;="&amp;$I$4,'Content Log'!$AG$5:$AG$504,3)</f>
        <v>0</v>
      </c>
      <c r="N29" s="87" t="n">
        <f aca="false">SUMIFS('Content Log'!$Z$5:$Z$504,'Content Log'!$A$5:$A$504,"&gt;="&amp;$G$4,'Content Log'!$A$5:$A$504,"&lt;="&amp;$I$4,'Content Log'!$AG$5:$AG$504,3)</f>
        <v>0</v>
      </c>
      <c r="O29" s="88" t="str">
        <f aca="false">IF(N(M29)=0,"",N29/M29)</f>
        <v/>
      </c>
    </row>
    <row r="30" customFormat="false" ht="15" hidden="false" customHeight="false" outlineLevel="0" collapsed="false">
      <c r="B30" s="84" t="str">
        <f aca="false">IF(Setup!K12="","",Setup!K12)</f>
        <v>Story</v>
      </c>
      <c r="C30" s="85" t="n">
        <f aca="false">IF($B30="","",COUNTIFS('Content Log'!$A$5:$A$504,"&gt;="&amp;$G$4,'Content Log'!$A$5:$A$504,"&lt;="&amp;$I$4,'Content Log'!$E$5:$E$504,$B30))</f>
        <v>1</v>
      </c>
      <c r="D30" s="87" t="n">
        <f aca="false">IF($B30="","",SUMIFS('Content Log'!$T$5:$T$504,'Content Log'!$A$5:$A$504,"&gt;="&amp;$G$4,'Content Log'!$A$5:$A$504,"&lt;="&amp;$I$4,'Content Log'!$E$5:$E$504,$B30))</f>
        <v>0</v>
      </c>
      <c r="E30" s="87" t="n">
        <f aca="false">IF($B30="","",SUMIFS('Content Log'!$Z$5:$Z$504,'Content Log'!$A$5:$A$504,"&gt;="&amp;$G$4,'Content Log'!$A$5:$A$504,"&lt;="&amp;$I$4,'Content Log'!$E$5:$E$504,$B30))</f>
        <v>0</v>
      </c>
      <c r="F30" s="88" t="str">
        <f aca="false">IF(OR($B30="",N(D30)=0),"",E30/D30)</f>
        <v/>
      </c>
      <c r="K30" s="84" t="s">
        <v>276</v>
      </c>
      <c r="L30" s="85" t="n">
        <f aca="false">COUNTIFS('Content Log'!$A$5:$A$504,"&gt;="&amp;$G$4,'Content Log'!$A$5:$A$504,"&lt;="&amp;$I$4,'Content Log'!$AG$5:$AG$504,4)</f>
        <v>8</v>
      </c>
      <c r="M30" s="87" t="n">
        <f aca="false">SUMIFS('Content Log'!$T$5:$T$504,'Content Log'!$A$5:$A$504,"&gt;="&amp;$G$4,'Content Log'!$A$5:$A$504,"&lt;="&amp;$I$4,'Content Log'!$AG$5:$AG$504,4)</f>
        <v>13600</v>
      </c>
      <c r="N30" s="87" t="n">
        <f aca="false">SUMIFS('Content Log'!$Z$5:$Z$504,'Content Log'!$A$5:$A$504,"&gt;="&amp;$G$4,'Content Log'!$A$5:$A$504,"&lt;="&amp;$I$4,'Content Log'!$AG$5:$AG$504,4)</f>
        <v>1580</v>
      </c>
      <c r="O30" s="88" t="n">
        <f aca="false">IF(N(M30)=0,"",N30/M30)</f>
        <v>0.116176470588235</v>
      </c>
    </row>
    <row r="31" customFormat="false" ht="15" hidden="false" customHeight="false" outlineLevel="0" collapsed="false">
      <c r="B31" s="84" t="str">
        <f aca="false">IF(Setup!K13="","",Setup!K13)</f>
        <v>Long-form video</v>
      </c>
      <c r="C31" s="85" t="n">
        <f aca="false">IF($B31="","",COUNTIFS('Content Log'!$A$5:$A$504,"&gt;="&amp;$G$4,'Content Log'!$A$5:$A$504,"&lt;="&amp;$I$4,'Content Log'!$E$5:$E$504,$B31))</f>
        <v>2</v>
      </c>
      <c r="D31" s="87" t="n">
        <f aca="false">IF($B31="","",SUMIFS('Content Log'!$T$5:$T$504,'Content Log'!$A$5:$A$504,"&gt;="&amp;$G$4,'Content Log'!$A$5:$A$504,"&lt;="&amp;$I$4,'Content Log'!$E$5:$E$504,$B31))</f>
        <v>7400</v>
      </c>
      <c r="E31" s="87" t="n">
        <f aca="false">IF($B31="","",SUMIFS('Content Log'!$Z$5:$Z$504,'Content Log'!$A$5:$A$504,"&gt;="&amp;$G$4,'Content Log'!$A$5:$A$504,"&lt;="&amp;$I$4,'Content Log'!$E$5:$E$504,$B31))</f>
        <v>944</v>
      </c>
      <c r="F31" s="88" t="n">
        <f aca="false">IF(OR($B31="",N(D31)=0),"",E31/D31)</f>
        <v>0.127567567567568</v>
      </c>
      <c r="K31" s="84" t="s">
        <v>277</v>
      </c>
      <c r="L31" s="85" t="n">
        <f aca="false">COUNTIFS('Content Log'!$A$5:$A$504,"&gt;="&amp;$G$4,'Content Log'!$A$5:$A$504,"&lt;="&amp;$I$4,'Content Log'!$AG$5:$AG$504,5)</f>
        <v>3</v>
      </c>
      <c r="M31" s="87" t="n">
        <f aca="false">SUMIFS('Content Log'!$T$5:$T$504,'Content Log'!$A$5:$A$504,"&gt;="&amp;$G$4,'Content Log'!$A$5:$A$504,"&lt;="&amp;$I$4,'Content Log'!$AG$5:$AG$504,5)</f>
        <v>0</v>
      </c>
      <c r="N31" s="87" t="n">
        <f aca="false">SUMIFS('Content Log'!$Z$5:$Z$504,'Content Log'!$A$5:$A$504,"&gt;="&amp;$G$4,'Content Log'!$A$5:$A$504,"&lt;="&amp;$I$4,'Content Log'!$AG$5:$AG$504,5)</f>
        <v>0</v>
      </c>
      <c r="O31" s="88" t="str">
        <f aca="false">IF(N(M31)=0,"",N31/M31)</f>
        <v/>
      </c>
    </row>
    <row r="32" customFormat="false" ht="15" hidden="false" customHeight="false" outlineLevel="0" collapsed="false">
      <c r="B32" s="84" t="str">
        <f aca="false">IF(Setup!K14="","",Setup!K14)</f>
        <v>Live</v>
      </c>
      <c r="C32" s="85" t="n">
        <f aca="false">IF($B32="","",COUNTIFS('Content Log'!$A$5:$A$504,"&gt;="&amp;$G$4,'Content Log'!$A$5:$A$504,"&lt;="&amp;$I$4,'Content Log'!$E$5:$E$504,$B32))</f>
        <v>0</v>
      </c>
      <c r="D32" s="87" t="n">
        <f aca="false">IF($B32="","",SUMIFS('Content Log'!$T$5:$T$504,'Content Log'!$A$5:$A$504,"&gt;="&amp;$G$4,'Content Log'!$A$5:$A$504,"&lt;="&amp;$I$4,'Content Log'!$E$5:$E$504,$B32))</f>
        <v>0</v>
      </c>
      <c r="E32" s="87" t="n">
        <f aca="false">IF($B32="","",SUMIFS('Content Log'!$Z$5:$Z$504,'Content Log'!$A$5:$A$504,"&gt;="&amp;$G$4,'Content Log'!$A$5:$A$504,"&lt;="&amp;$I$4,'Content Log'!$E$5:$E$504,$B32))</f>
        <v>0</v>
      </c>
      <c r="F32" s="88" t="str">
        <f aca="false">IF(OR($B32="",N(D32)=0),"",E32/D32)</f>
        <v/>
      </c>
      <c r="K32" s="84" t="s">
        <v>278</v>
      </c>
      <c r="L32" s="85" t="n">
        <f aca="false">COUNTIFS('Content Log'!$A$5:$A$504,"&gt;="&amp;$G$4,'Content Log'!$A$5:$A$504,"&lt;="&amp;$I$4,'Content Log'!$AG$5:$AG$504,6)</f>
        <v>2</v>
      </c>
      <c r="M32" s="87" t="n">
        <f aca="false">SUMIFS('Content Log'!$T$5:$T$504,'Content Log'!$A$5:$A$504,"&gt;="&amp;$G$4,'Content Log'!$A$5:$A$504,"&lt;="&amp;$I$4,'Content Log'!$AG$5:$AG$504,6)</f>
        <v>33500</v>
      </c>
      <c r="N32" s="87" t="n">
        <f aca="false">SUMIFS('Content Log'!$Z$5:$Z$504,'Content Log'!$A$5:$A$504,"&gt;="&amp;$G$4,'Content Log'!$A$5:$A$504,"&lt;="&amp;$I$4,'Content Log'!$AG$5:$AG$504,6)</f>
        <v>4068</v>
      </c>
      <c r="O32" s="88" t="n">
        <f aca="false">IF(N(M32)=0,"",N32/M32)</f>
        <v>0.121432835820896</v>
      </c>
    </row>
    <row r="33" customFormat="false" ht="15" hidden="false" customHeight="false" outlineLevel="0" collapsed="false">
      <c r="B33" s="84" t="str">
        <f aca="false">IF(Setup!K15="","",Setup!K15)</f>
        <v>Text post</v>
      </c>
      <c r="C33" s="85" t="n">
        <f aca="false">IF($B33="","",COUNTIFS('Content Log'!$A$5:$A$504,"&gt;="&amp;$G$4,'Content Log'!$A$5:$A$504,"&lt;="&amp;$I$4,'Content Log'!$E$5:$E$504,$B33))</f>
        <v>3</v>
      </c>
      <c r="D33" s="87" t="n">
        <f aca="false">IF($B33="","",SUMIFS('Content Log'!$T$5:$T$504,'Content Log'!$A$5:$A$504,"&gt;="&amp;$G$4,'Content Log'!$A$5:$A$504,"&lt;="&amp;$I$4,'Content Log'!$E$5:$E$504,$B33))</f>
        <v>1700</v>
      </c>
      <c r="E33" s="87" t="n">
        <f aca="false">IF($B33="","",SUMIFS('Content Log'!$Z$5:$Z$504,'Content Log'!$A$5:$A$504,"&gt;="&amp;$G$4,'Content Log'!$A$5:$A$504,"&lt;="&amp;$I$4,'Content Log'!$E$5:$E$504,$B33))</f>
        <v>173</v>
      </c>
      <c r="F33" s="88" t="n">
        <f aca="false">IF(OR($B33="",N(D33)=0),"",E33/D33)</f>
        <v>0.101764705882353</v>
      </c>
      <c r="K33" s="84" t="s">
        <v>44</v>
      </c>
      <c r="L33" s="85" t="n">
        <f aca="false">COUNTIFS('Content Log'!$A$5:$A$504,"&gt;="&amp;$G$4,'Content Log'!$A$5:$A$504,"&lt;="&amp;$I$4,'Content Log'!$AG$5:$AG$504,7)</f>
        <v>0</v>
      </c>
      <c r="M33" s="87" t="n">
        <f aca="false">SUMIFS('Content Log'!$T$5:$T$504,'Content Log'!$A$5:$A$504,"&gt;="&amp;$G$4,'Content Log'!$A$5:$A$504,"&lt;="&amp;$I$4,'Content Log'!$AG$5:$AG$504,7)</f>
        <v>0</v>
      </c>
      <c r="N33" s="87" t="n">
        <f aca="false">SUMIFS('Content Log'!$Z$5:$Z$504,'Content Log'!$A$5:$A$504,"&gt;="&amp;$G$4,'Content Log'!$A$5:$A$504,"&lt;="&amp;$I$4,'Content Log'!$AG$5:$AG$504,7)</f>
        <v>0</v>
      </c>
      <c r="O33" s="88" t="str">
        <f aca="false">IF(N(M33)=0,"",N33/M33)</f>
        <v/>
      </c>
    </row>
    <row r="34" customFormat="false" ht="15" hidden="false" customHeight="false" outlineLevel="0" collapsed="false">
      <c r="B34" s="84" t="str">
        <f aca="false">IF(Setup!K16="","",Setup!K16)</f>
        <v>Thread</v>
      </c>
      <c r="C34" s="85" t="n">
        <f aca="false">IF($B34="","",COUNTIFS('Content Log'!$A$5:$A$504,"&gt;="&amp;$G$4,'Content Log'!$A$5:$A$504,"&lt;="&amp;$I$4,'Content Log'!$E$5:$E$504,$B34))</f>
        <v>1</v>
      </c>
      <c r="D34" s="87" t="n">
        <f aca="false">IF($B34="","",SUMIFS('Content Log'!$T$5:$T$504,'Content Log'!$A$5:$A$504,"&gt;="&amp;$G$4,'Content Log'!$A$5:$A$504,"&lt;="&amp;$I$4,'Content Log'!$E$5:$E$504,$B34))</f>
        <v>0</v>
      </c>
      <c r="E34" s="87" t="n">
        <f aca="false">IF($B34="","",SUMIFS('Content Log'!$Z$5:$Z$504,'Content Log'!$A$5:$A$504,"&gt;="&amp;$G$4,'Content Log'!$A$5:$A$504,"&lt;="&amp;$I$4,'Content Log'!$E$5:$E$504,$B34))</f>
        <v>0</v>
      </c>
      <c r="F34" s="88" t="str">
        <f aca="false">IF(OR($B34="",N(D34)=0),"",E34/D34)</f>
        <v/>
      </c>
      <c r="K34" s="90" t="str">
        <f aca="false">IFERROR("⭐ Best day so far: "&amp;INDEX(K27:K33,MATCH(MAX(O27:O33),O27:O33,0)),"")</f>
        <v>⭐ Best day so far: Saturday</v>
      </c>
    </row>
    <row r="35" customFormat="false" ht="15" hidden="false" customHeight="false" outlineLevel="0" collapsed="false">
      <c r="B35" s="84" t="str">
        <f aca="false">IF(Setup!K17="","",Setup!K17)</f>
        <v>Pin</v>
      </c>
      <c r="C35" s="85" t="n">
        <f aca="false">IF($B35="","",COUNTIFS('Content Log'!$A$5:$A$504,"&gt;="&amp;$G$4,'Content Log'!$A$5:$A$504,"&lt;="&amp;$I$4,'Content Log'!$E$5:$E$504,$B35))</f>
        <v>2</v>
      </c>
      <c r="D35" s="87" t="n">
        <f aca="false">IF($B35="","",SUMIFS('Content Log'!$T$5:$T$504,'Content Log'!$A$5:$A$504,"&gt;="&amp;$G$4,'Content Log'!$A$5:$A$504,"&lt;="&amp;$I$4,'Content Log'!$E$5:$E$504,$B35))</f>
        <v>0</v>
      </c>
      <c r="E35" s="87" t="n">
        <f aca="false">IF($B35="","",SUMIFS('Content Log'!$Z$5:$Z$504,'Content Log'!$A$5:$A$504,"&gt;="&amp;$G$4,'Content Log'!$A$5:$A$504,"&lt;="&amp;$I$4,'Content Log'!$E$5:$E$504,$B35))</f>
        <v>0</v>
      </c>
      <c r="F35" s="88" t="str">
        <f aca="false">IF(OR($B35="",N(D35)=0),"",E35/D35)</f>
        <v/>
      </c>
    </row>
    <row r="36" customFormat="false" ht="15" hidden="false" customHeight="false" outlineLevel="0" collapsed="false">
      <c r="B36" s="84" t="str">
        <f aca="false">IF(Setup!K18="","",Setup!K18)</f>
        <v>Poll</v>
      </c>
      <c r="C36" s="85" t="n">
        <f aca="false">IF($B36="","",COUNTIFS('Content Log'!$A$5:$A$504,"&gt;="&amp;$G$4,'Content Log'!$A$5:$A$504,"&lt;="&amp;$I$4,'Content Log'!$E$5:$E$504,$B36))</f>
        <v>0</v>
      </c>
      <c r="D36" s="87" t="n">
        <f aca="false">IF($B36="","",SUMIFS('Content Log'!$T$5:$T$504,'Content Log'!$A$5:$A$504,"&gt;="&amp;$G$4,'Content Log'!$A$5:$A$504,"&lt;="&amp;$I$4,'Content Log'!$E$5:$E$504,$B36))</f>
        <v>0</v>
      </c>
      <c r="E36" s="87" t="n">
        <f aca="false">IF($B36="","",SUMIFS('Content Log'!$Z$5:$Z$504,'Content Log'!$A$5:$A$504,"&gt;="&amp;$G$4,'Content Log'!$A$5:$A$504,"&lt;="&amp;$I$4,'Content Log'!$E$5:$E$504,$B36))</f>
        <v>0</v>
      </c>
      <c r="F36" s="88" t="str">
        <f aca="false">IF(OR($B36="",N(D36)=0),"",E36/D36)</f>
        <v/>
      </c>
    </row>
    <row r="37" customFormat="false" ht="15" hidden="false" customHeight="false" outlineLevel="0" collapsed="false">
      <c r="B37" s="84" t="str">
        <f aca="false">IF(Setup!K19="","",Setup!K19)</f>
        <v>Article / Blog</v>
      </c>
      <c r="C37" s="85" t="n">
        <f aca="false">IF($B37="","",COUNTIFS('Content Log'!$A$5:$A$504,"&gt;="&amp;$G$4,'Content Log'!$A$5:$A$504,"&lt;="&amp;$I$4,'Content Log'!$E$5:$E$504,$B37))</f>
        <v>0</v>
      </c>
      <c r="D37" s="87" t="n">
        <f aca="false">IF($B37="","",SUMIFS('Content Log'!$T$5:$T$504,'Content Log'!$A$5:$A$504,"&gt;="&amp;$G$4,'Content Log'!$A$5:$A$504,"&lt;="&amp;$I$4,'Content Log'!$E$5:$E$504,$B37))</f>
        <v>0</v>
      </c>
      <c r="E37" s="87" t="n">
        <f aca="false">IF($B37="","",SUMIFS('Content Log'!$Z$5:$Z$504,'Content Log'!$A$5:$A$504,"&gt;="&amp;$G$4,'Content Log'!$A$5:$A$504,"&lt;="&amp;$I$4,'Content Log'!$E$5:$E$504,$B37))</f>
        <v>0</v>
      </c>
      <c r="F37" s="88" t="str">
        <f aca="false">IF(OR($B37="",N(D37)=0),"",E37/D37)</f>
        <v/>
      </c>
    </row>
    <row r="38" customFormat="false" ht="15" hidden="false" customHeight="false" outlineLevel="0" collapsed="false">
      <c r="B38" s="84" t="str">
        <f aca="false">IF(Setup!K20="","",Setup!K20)</f>
        <v>Newsletter</v>
      </c>
      <c r="C38" s="85" t="n">
        <f aca="false">IF($B38="","",COUNTIFS('Content Log'!$A$5:$A$504,"&gt;="&amp;$G$4,'Content Log'!$A$5:$A$504,"&lt;="&amp;$I$4,'Content Log'!$E$5:$E$504,$B38))</f>
        <v>0</v>
      </c>
      <c r="D38" s="87" t="n">
        <f aca="false">IF($B38="","",SUMIFS('Content Log'!$T$5:$T$504,'Content Log'!$A$5:$A$504,"&gt;="&amp;$G$4,'Content Log'!$A$5:$A$504,"&lt;="&amp;$I$4,'Content Log'!$E$5:$E$504,$B38))</f>
        <v>0</v>
      </c>
      <c r="E38" s="87" t="n">
        <f aca="false">IF($B38="","",SUMIFS('Content Log'!$Z$5:$Z$504,'Content Log'!$A$5:$A$504,"&gt;="&amp;$G$4,'Content Log'!$A$5:$A$504,"&lt;="&amp;$I$4,'Content Log'!$E$5:$E$504,$B38))</f>
        <v>0</v>
      </c>
      <c r="F38" s="88" t="str">
        <f aca="false">IF(OR($B38="",N(D38)=0),"",E38/D38)</f>
        <v/>
      </c>
    </row>
    <row r="39" customFormat="false" ht="15" hidden="false" customHeight="false" outlineLevel="0" collapsed="false">
      <c r="B39" s="84" t="str">
        <f aca="false">IF(Setup!K21="","",Setup!K21)</f>
        <v/>
      </c>
      <c r="C39" s="85" t="str">
        <f aca="false">IF($B39="","",COUNTIFS('Content Log'!$A$5:$A$504,"&gt;="&amp;$G$4,'Content Log'!$A$5:$A$504,"&lt;="&amp;$I$4,'Content Log'!$E$5:$E$504,$B39))</f>
        <v/>
      </c>
      <c r="D39" s="87" t="str">
        <f aca="false">IF($B39="","",SUMIFS('Content Log'!$T$5:$T$504,'Content Log'!$A$5:$A$504,"&gt;="&amp;$G$4,'Content Log'!$A$5:$A$504,"&lt;="&amp;$I$4,'Content Log'!$E$5:$E$504,$B39))</f>
        <v/>
      </c>
      <c r="E39" s="87" t="str">
        <f aca="false">IF($B39="","",SUMIFS('Content Log'!$Z$5:$Z$504,'Content Log'!$A$5:$A$504,"&gt;="&amp;$G$4,'Content Log'!$A$5:$A$504,"&lt;="&amp;$I$4,'Content Log'!$E$5:$E$504,$B39))</f>
        <v/>
      </c>
      <c r="F39" s="88" t="str">
        <f aca="false">IF(OR($B39="",N(D39)=0),"",E39/D39)</f>
        <v/>
      </c>
    </row>
    <row r="40" customFormat="false" ht="15" hidden="false" customHeight="false" outlineLevel="0" collapsed="false">
      <c r="B40" s="84" t="str">
        <f aca="false">IF(Setup!K22="","",Setup!K22)</f>
        <v/>
      </c>
      <c r="C40" s="85" t="str">
        <f aca="false">IF($B40="","",COUNTIFS('Content Log'!$A$5:$A$504,"&gt;="&amp;$G$4,'Content Log'!$A$5:$A$504,"&lt;="&amp;$I$4,'Content Log'!$E$5:$E$504,$B40))</f>
        <v/>
      </c>
      <c r="D40" s="87" t="str">
        <f aca="false">IF($B40="","",SUMIFS('Content Log'!$T$5:$T$504,'Content Log'!$A$5:$A$504,"&gt;="&amp;$G$4,'Content Log'!$A$5:$A$504,"&lt;="&amp;$I$4,'Content Log'!$E$5:$E$504,$B40))</f>
        <v/>
      </c>
      <c r="E40" s="87" t="str">
        <f aca="false">IF($B40="","",SUMIFS('Content Log'!$Z$5:$Z$504,'Content Log'!$A$5:$A$504,"&gt;="&amp;$G$4,'Content Log'!$A$5:$A$504,"&lt;="&amp;$I$4,'Content Log'!$E$5:$E$504,$B40))</f>
        <v/>
      </c>
      <c r="F40" s="88" t="str">
        <f aca="false">IF(OR($B40="",N(D40)=0),"",E40/D40)</f>
        <v/>
      </c>
    </row>
    <row r="42" customFormat="false" ht="15" hidden="false" customHeight="false" outlineLevel="0" collapsed="false">
      <c r="B42" s="82" t="s">
        <v>279</v>
      </c>
      <c r="C42" s="83"/>
      <c r="D42" s="83"/>
      <c r="E42" s="83"/>
      <c r="F42" s="83"/>
      <c r="G42" s="83"/>
      <c r="H42" s="83"/>
      <c r="I42" s="83"/>
      <c r="J42" s="83"/>
      <c r="K42" s="83"/>
      <c r="L42" s="83"/>
      <c r="M42" s="83"/>
      <c r="N42" s="83"/>
      <c r="O42" s="83"/>
      <c r="P42" s="83"/>
    </row>
    <row r="43" customFormat="false" ht="30" hidden="false" customHeight="true" outlineLevel="0" collapsed="false">
      <c r="B43" s="17" t="s">
        <v>280</v>
      </c>
      <c r="C43" s="17" t="s">
        <v>128</v>
      </c>
      <c r="D43" s="17" t="s">
        <v>45</v>
      </c>
      <c r="E43" s="17" t="s">
        <v>131</v>
      </c>
      <c r="F43" s="17" t="s">
        <v>134</v>
      </c>
      <c r="G43" s="17"/>
      <c r="H43" s="17"/>
      <c r="I43" s="17"/>
      <c r="J43" s="17"/>
      <c r="K43" s="17" t="s">
        <v>132</v>
      </c>
      <c r="L43" s="17" t="s">
        <v>145</v>
      </c>
      <c r="M43" s="17" t="s">
        <v>151</v>
      </c>
      <c r="N43" s="17" t="s">
        <v>152</v>
      </c>
    </row>
    <row r="44" customFormat="false" ht="19.5" hidden="false" customHeight="true" outlineLevel="0" collapsed="false">
      <c r="B44" s="91" t="n">
        <v>1</v>
      </c>
      <c r="C44" s="92" t="n">
        <f aca="false">IFERROR(INDEX('Content Log'!$A$5:$A$504,MATCH(LARGE('Content Log'!$AF$5:$AF$504,1),'Content Log'!$AF$5:$AF$504,0)),"")</f>
        <v>46298</v>
      </c>
      <c r="D44" s="93" t="str">
        <f aca="false">IFERROR(INDEX('Content Log'!$D$5:$D$504,MATCH(LARGE('Content Log'!$AF$5:$AF$504,1),'Content Log'!$AF$5:$AF$504,0)),"")</f>
        <v>YouTube</v>
      </c>
      <c r="E44" s="93" t="str">
        <f aca="false">IFERROR(INDEX('Content Log'!$E$5:$E$504,MATCH(LARGE('Content Log'!$AF$5:$AF$504,1),'Content Log'!$AF$5:$AF$504,0)),"")</f>
        <v>Long-form video</v>
      </c>
      <c r="F44" s="94" t="str">
        <f aca="false">IFERROR(INDEX('Content Log'!$H$5:$H$504,MATCH(LARGE('Content Log'!$AF$5:$AF$504,1),'Content Log'!$AF$5:$AF$504,0)),"")</f>
        <v>How I batch 30 posts in a day</v>
      </c>
      <c r="G44" s="94"/>
      <c r="H44" s="94"/>
      <c r="I44" s="94"/>
      <c r="J44" s="94"/>
      <c r="K44" s="93" t="str">
        <f aca="false">IFERROR(INDEX('Content Log'!$F$5:$F$504,MATCH(LARGE('Content Log'!$AF$5:$AF$504,1),'Content Log'!$AF$5:$AF$504,0)),"")</f>
        <v>Educate</v>
      </c>
      <c r="L44" s="87" t="n">
        <f aca="false">IFERROR(INDEX('Content Log'!$T$5:$T$504,MATCH(LARGE('Content Log'!$AF$5:$AF$504,1),'Content Log'!$AF$5:$AF$504,0)),"")</f>
        <v>7400</v>
      </c>
      <c r="M44" s="87" t="n">
        <f aca="false">IFERROR(INDEX('Content Log'!$Z$5:$Z$504,MATCH(LARGE('Content Log'!$AF$5:$AF$504,1),'Content Log'!$AF$5:$AF$504,0)),"")</f>
        <v>944</v>
      </c>
      <c r="N44" s="88" t="n">
        <f aca="false">IFERROR(INDEX('Content Log'!$AA$5:$AA$504,MATCH(LARGE('Content Log'!$AF$5:$AF$504,1),'Content Log'!$AF$5:$AF$504,0)),"")</f>
        <v>0.127567567567568</v>
      </c>
    </row>
    <row r="45" customFormat="false" ht="19.5" hidden="false" customHeight="true" outlineLevel="0" collapsed="false">
      <c r="B45" s="91" t="n">
        <v>2</v>
      </c>
      <c r="C45" s="92" t="n">
        <f aca="false">IFERROR(INDEX('Content Log'!$A$5:$A$504,MATCH(LARGE('Content Log'!$AF$5:$AF$504,2),'Content Log'!$AF$5:$AF$504,0)),"")</f>
        <v>46298</v>
      </c>
      <c r="D45" s="93" t="str">
        <f aca="false">IFERROR(INDEX('Content Log'!$D$5:$D$504,MATCH(LARGE('Content Log'!$AF$5:$AF$504,2),'Content Log'!$AF$5:$AF$504,0)),"")</f>
        <v>TikTok</v>
      </c>
      <c r="E45" s="93" t="str">
        <f aca="false">IFERROR(INDEX('Content Log'!$E$5:$E$504,MATCH(LARGE('Content Log'!$AF$5:$AF$504,2),'Content Log'!$AF$5:$AF$504,0)),"")</f>
        <v>Reel / Short video</v>
      </c>
      <c r="F45" s="94" t="str">
        <f aca="false">IFERROR(INDEX('Content Log'!$H$5:$H$504,MATCH(LARGE('Content Log'!$AF$5:$AF$504,2),'Content Log'!$AF$5:$AF$504,0)),"")</f>
        <v>Trend: 'tell me without telling me'</v>
      </c>
      <c r="G45" s="94"/>
      <c r="H45" s="94"/>
      <c r="I45" s="94"/>
      <c r="J45" s="94"/>
      <c r="K45" s="93" t="str">
        <f aca="false">IFERROR(INDEX('Content Log'!$F$5:$F$504,MATCH(LARGE('Content Log'!$AF$5:$AF$504,2),'Content Log'!$AF$5:$AF$504,0)),"")</f>
        <v>Entertain</v>
      </c>
      <c r="L45" s="87" t="n">
        <f aca="false">IFERROR(INDEX('Content Log'!$T$5:$T$504,MATCH(LARGE('Content Log'!$AF$5:$AF$504,2),'Content Log'!$AF$5:$AF$504,0)),"")</f>
        <v>26100</v>
      </c>
      <c r="M45" s="87" t="n">
        <f aca="false">IFERROR(INDEX('Content Log'!$Z$5:$Z$504,MATCH(LARGE('Content Log'!$AF$5:$AF$504,2),'Content Log'!$AF$5:$AF$504,0)),"")</f>
        <v>3124</v>
      </c>
      <c r="N45" s="88" t="n">
        <f aca="false">IFERROR(INDEX('Content Log'!$AA$5:$AA$504,MATCH(LARGE('Content Log'!$AF$5:$AF$504,2),'Content Log'!$AF$5:$AF$504,0)),"")</f>
        <v>0.119693486590038</v>
      </c>
    </row>
    <row r="46" customFormat="false" ht="19.5" hidden="false" customHeight="true" outlineLevel="0" collapsed="false">
      <c r="B46" s="91" t="n">
        <v>3</v>
      </c>
      <c r="C46" s="92" t="n">
        <f aca="false">IFERROR(INDEX('Content Log'!$A$5:$A$504,MATCH(LARGE('Content Log'!$AF$5:$AF$504,3),'Content Log'!$AF$5:$AF$504,0)),"")</f>
        <v>46296</v>
      </c>
      <c r="D46" s="93" t="str">
        <f aca="false">IFERROR(INDEX('Content Log'!$D$5:$D$504,MATCH(LARGE('Content Log'!$AF$5:$AF$504,3),'Content Log'!$AF$5:$AF$504,0)),"")</f>
        <v>Instagram</v>
      </c>
      <c r="E46" s="93" t="str">
        <f aca="false">IFERROR(INDEX('Content Log'!$E$5:$E$504,MATCH(LARGE('Content Log'!$AF$5:$AF$504,3),'Content Log'!$AF$5:$AF$504,0)),"")</f>
        <v>Reel / Short video</v>
      </c>
      <c r="F46" s="94" t="str">
        <f aca="false">IFERROR(INDEX('Content Log'!$H$5:$H$504,MATCH(LARGE('Content Log'!$AF$5:$AF$504,3),'Content Log'!$AF$5:$AF$504,0)),"")</f>
        <v>Sneak peek: something new</v>
      </c>
      <c r="G46" s="94"/>
      <c r="H46" s="94"/>
      <c r="I46" s="94"/>
      <c r="J46" s="94"/>
      <c r="K46" s="93" t="str">
        <f aca="false">IFERROR(INDEX('Content Log'!$F$5:$F$504,MATCH(LARGE('Content Log'!$AF$5:$AF$504,3),'Content Log'!$AF$5:$AF$504,0)),"")</f>
        <v>Promote</v>
      </c>
      <c r="L46" s="87" t="n">
        <f aca="false">IFERROR(INDEX('Content Log'!$T$5:$T$504,MATCH(LARGE('Content Log'!$AF$5:$AF$504,3),'Content Log'!$AF$5:$AF$504,0)),"")</f>
        <v>11900</v>
      </c>
      <c r="M46" s="87" t="n">
        <f aca="false">IFERROR(INDEX('Content Log'!$Z$5:$Z$504,MATCH(LARGE('Content Log'!$AF$5:$AF$504,3),'Content Log'!$AF$5:$AF$504,0)),"")</f>
        <v>1407</v>
      </c>
      <c r="N46" s="88" t="n">
        <f aca="false">IFERROR(INDEX('Content Log'!$AA$5:$AA$504,MATCH(LARGE('Content Log'!$AF$5:$AF$504,3),'Content Log'!$AF$5:$AF$504,0)),"")</f>
        <v>0.118235294117647</v>
      </c>
    </row>
    <row r="47" customFormat="false" ht="19.5" hidden="false" customHeight="true" outlineLevel="0" collapsed="false">
      <c r="B47" s="91" t="n">
        <v>4</v>
      </c>
      <c r="C47" s="92" t="n">
        <f aca="false">IFERROR(INDEX('Content Log'!$A$5:$A$504,MATCH(LARGE('Content Log'!$AF$5:$AF$504,4),'Content Log'!$AF$5:$AF$504,0)),"")</f>
        <v>46296</v>
      </c>
      <c r="D47" s="93" t="str">
        <f aca="false">IFERROR(INDEX('Content Log'!$D$5:$D$504,MATCH(LARGE('Content Log'!$AF$5:$AF$504,4),'Content Log'!$AF$5:$AF$504,0)),"")</f>
        <v>Threads</v>
      </c>
      <c r="E47" s="93" t="str">
        <f aca="false">IFERROR(INDEX('Content Log'!$E$5:$E$504,MATCH(LARGE('Content Log'!$AF$5:$AF$504,4),'Content Log'!$AF$5:$AF$504,0)),"")</f>
        <v>Text post</v>
      </c>
      <c r="F47" s="94" t="str">
        <f aca="false">IFERROR(INDEX('Content Log'!$H$5:$H$504,MATCH(LARGE('Content Log'!$AF$5:$AF$504,4),'Content Log'!$AF$5:$AF$504,0)),"")</f>
        <v>Ask me anything Friday</v>
      </c>
      <c r="G47" s="94"/>
      <c r="H47" s="94"/>
      <c r="I47" s="94"/>
      <c r="J47" s="94"/>
      <c r="K47" s="93" t="str">
        <f aca="false">IFERROR(INDEX('Content Log'!$F$5:$F$504,MATCH(LARGE('Content Log'!$AF$5:$AF$504,4),'Content Log'!$AF$5:$AF$504,0)),"")</f>
        <v>Community</v>
      </c>
      <c r="L47" s="87" t="n">
        <f aca="false">IFERROR(INDEX('Content Log'!$T$5:$T$504,MATCH(LARGE('Content Log'!$AF$5:$AF$504,4),'Content Log'!$AF$5:$AF$504,0)),"")</f>
        <v>1700</v>
      </c>
      <c r="M47" s="87" t="n">
        <f aca="false">IFERROR(INDEX('Content Log'!$Z$5:$Z$504,MATCH(LARGE('Content Log'!$AF$5:$AF$504,4),'Content Log'!$AF$5:$AF$504,0)),"")</f>
        <v>173</v>
      </c>
      <c r="N47" s="88" t="n">
        <f aca="false">IFERROR(INDEX('Content Log'!$AA$5:$AA$504,MATCH(LARGE('Content Log'!$AF$5:$AF$504,4),'Content Log'!$AF$5:$AF$504,0)),"")</f>
        <v>0.101764705882353</v>
      </c>
    </row>
    <row r="48" customFormat="false" ht="19.5" hidden="false" customHeight="true" outlineLevel="0" collapsed="false">
      <c r="B48" s="91" t="n">
        <v>5</v>
      </c>
      <c r="C48" s="92" t="str">
        <f aca="false">IFERROR(INDEX('Content Log'!$A$5:$A$504,MATCH(LARGE('Content Log'!$AF$5:$AF$504,5),'Content Log'!$AF$5:$AF$504,0)),"")</f>
        <v/>
      </c>
      <c r="D48" s="93" t="str">
        <f aca="false">IFERROR(INDEX('Content Log'!$D$5:$D$504,MATCH(LARGE('Content Log'!$AF$5:$AF$504,5),'Content Log'!$AF$5:$AF$504,0)),"")</f>
        <v/>
      </c>
      <c r="E48" s="93" t="str">
        <f aca="false">IFERROR(INDEX('Content Log'!$E$5:$E$504,MATCH(LARGE('Content Log'!$AF$5:$AF$504,5),'Content Log'!$AF$5:$AF$504,0)),"")</f>
        <v/>
      </c>
      <c r="F48" s="94" t="str">
        <f aca="false">IFERROR(INDEX('Content Log'!$H$5:$H$504,MATCH(LARGE('Content Log'!$AF$5:$AF$504,5),'Content Log'!$AF$5:$AF$504,0)),"")</f>
        <v/>
      </c>
      <c r="G48" s="94"/>
      <c r="H48" s="94"/>
      <c r="I48" s="94"/>
      <c r="J48" s="94"/>
      <c r="K48" s="93" t="str">
        <f aca="false">IFERROR(INDEX('Content Log'!$F$5:$F$504,MATCH(LARGE('Content Log'!$AF$5:$AF$504,5),'Content Log'!$AF$5:$AF$504,0)),"")</f>
        <v/>
      </c>
      <c r="L48" s="87" t="str">
        <f aca="false">IFERROR(INDEX('Content Log'!$T$5:$T$504,MATCH(LARGE('Content Log'!$AF$5:$AF$504,5),'Content Log'!$AF$5:$AF$504,0)),"")</f>
        <v/>
      </c>
      <c r="M48" s="87" t="str">
        <f aca="false">IFERROR(INDEX('Content Log'!$Z$5:$Z$504,MATCH(LARGE('Content Log'!$AF$5:$AF$504,5),'Content Log'!$AF$5:$AF$504,0)),"")</f>
        <v/>
      </c>
      <c r="N48" s="88" t="str">
        <f aca="false">IFERROR(INDEX('Content Log'!$AA$5:$AA$504,MATCH(LARGE('Content Log'!$AF$5:$AF$504,5),'Content Log'!$AF$5:$AF$504,0)),"")</f>
        <v/>
      </c>
    </row>
  </sheetData>
  <mergeCells count="30">
    <mergeCell ref="B6:C6"/>
    <mergeCell ref="D6:E6"/>
    <mergeCell ref="F6:G6"/>
    <mergeCell ref="H6:I6"/>
    <mergeCell ref="J6:K6"/>
    <mergeCell ref="L6:M6"/>
    <mergeCell ref="N6:O6"/>
    <mergeCell ref="P6:Q6"/>
    <mergeCell ref="B7:C7"/>
    <mergeCell ref="D7:E7"/>
    <mergeCell ref="F7:G7"/>
    <mergeCell ref="H7:I7"/>
    <mergeCell ref="J7:K7"/>
    <mergeCell ref="L7:M7"/>
    <mergeCell ref="N7:O7"/>
    <mergeCell ref="P7:Q7"/>
    <mergeCell ref="B8:C8"/>
    <mergeCell ref="D8:E8"/>
    <mergeCell ref="F8:G8"/>
    <mergeCell ref="H8:I8"/>
    <mergeCell ref="J8:K8"/>
    <mergeCell ref="L8:M8"/>
    <mergeCell ref="N8:O8"/>
    <mergeCell ref="P8:Q8"/>
    <mergeCell ref="F43:J43"/>
    <mergeCell ref="F44:J44"/>
    <mergeCell ref="F45:J45"/>
    <mergeCell ref="F46:J46"/>
    <mergeCell ref="F47:J47"/>
    <mergeCell ref="F48:J48"/>
  </mergeCells>
  <conditionalFormatting sqref="F13:F22">
    <cfRule type="expression" priority="2" aboveAverage="0" equalAverage="0" bottom="0" percent="0" rank="0" text="" dxfId="31">
      <formula>AND(F13&lt;&gt;"",F13&gt;=1)</formula>
    </cfRule>
    <cfRule type="expression" priority="3" aboveAverage="0" equalAverage="0" bottom="0" percent="0" rank="0" text="" dxfId="0">
      <formula>AND(F13&lt;&gt;"",F13&lt;0.5)</formula>
    </cfRule>
  </conditionalFormatting>
  <conditionalFormatting sqref="O13:O20">
    <cfRule type="expression" priority="4" aboveAverage="0" equalAverage="0" bottom="0" percent="0" rank="0" text="" dxfId="0">
      <formula>AND(O13&lt;&gt;"",O13&lt;=-0.1)</formula>
    </cfRule>
    <cfRule type="expression" priority="5" aboveAverage="0" equalAverage="0" bottom="0" percent="0" rank="0" text="" dxfId="32">
      <formula>AND(O13&lt;&gt;"",O13&gt;=0.1)</formula>
    </cfRule>
  </conditionalFormatting>
  <conditionalFormatting sqref="F27:F40">
    <cfRule type="colorScale" priority="6">
      <colorScale>
        <cfvo type="min" val="0"/>
        <cfvo type="max" val="0"/>
        <color rgb="FFFFFFFF"/>
        <color rgb="FF9CC5A6"/>
      </colorScale>
    </cfRule>
  </conditionalFormatting>
  <conditionalFormatting sqref="O27:O33">
    <cfRule type="colorScale" priority="7">
      <colorScale>
        <cfvo type="min" val="0"/>
        <cfvo type="max" val="0"/>
        <color rgb="FFFFFFFF"/>
        <color rgb="FF9CC5A6"/>
      </colorScale>
    </cfRule>
  </conditionalFormatting>
  <dataValidations count="1">
    <dataValidation allowBlank="true" error="Pick a value from the list (edit the list on the Setup tab)." errorStyle="warning" errorTitle="Not in list" operator="between" showDropDown="false" showErrorMessage="false" showInputMessage="false" sqref="C4" type="list">
      <formula1>Setup!$R$9:$R$21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FAE97"/>
    <pageSetUpPr fitToPage="true"/>
  </sheetPr>
  <dimension ref="A1:M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4"/>
    <col collapsed="false" customWidth="true" hidden="false" outlineLevel="0" max="13" min="3" style="0" width="12"/>
  </cols>
  <sheetData>
    <row r="1" customFormat="false" ht="33.75" hidden="false" customHeight="true" outlineLevel="0" collapsed="false">
      <c r="B1" s="1" t="s">
        <v>281</v>
      </c>
    </row>
    <row r="2" customFormat="false" ht="19.5" hidden="false" customHeight="true" outlineLevel="0" collapsed="false">
      <c r="A2" s="2"/>
      <c r="B2" s="3" t="s">
        <v>282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15" hidden="false" customHeight="false" outlineLevel="0" collapsed="false">
      <c r="B4" s="53" t="s">
        <v>233</v>
      </c>
      <c r="C4" s="55" t="n">
        <v>2026</v>
      </c>
    </row>
    <row r="6" customFormat="false" ht="15" hidden="false" customHeight="false" outlineLevel="0" collapsed="false">
      <c r="B6" s="82" t="s">
        <v>283</v>
      </c>
      <c r="C6" s="83"/>
      <c r="D6" s="83"/>
      <c r="E6" s="83"/>
      <c r="F6" s="83"/>
      <c r="G6" s="83"/>
      <c r="H6" s="83"/>
      <c r="I6" s="83"/>
      <c r="J6" s="83"/>
      <c r="K6" s="83"/>
      <c r="L6" s="83"/>
      <c r="M6" s="83"/>
    </row>
    <row r="7" customFormat="false" ht="27.75" hidden="false" customHeight="true" outlineLevel="0" collapsed="false">
      <c r="B7" s="17" t="s">
        <v>232</v>
      </c>
      <c r="C7" s="17" t="str">
        <f aca="false">IF(Setup!B9="","—",Setup!B9)</f>
        <v>Instagram</v>
      </c>
      <c r="D7" s="17" t="str">
        <f aca="false">IF(Setup!B10="","—",Setup!B10)</f>
        <v>TikTok</v>
      </c>
      <c r="E7" s="17" t="str">
        <f aca="false">IF(Setup!B11="","—",Setup!B11)</f>
        <v>YouTube</v>
      </c>
      <c r="F7" s="17" t="str">
        <f aca="false">IF(Setup!B12="","—",Setup!B12)</f>
        <v>LinkedIn</v>
      </c>
      <c r="G7" s="17" t="str">
        <f aca="false">IF(Setup!B13="","—",Setup!B13)</f>
        <v>Facebook</v>
      </c>
      <c r="H7" s="17" t="str">
        <f aca="false">IF(Setup!B14="","—",Setup!B14)</f>
        <v>Pinterest</v>
      </c>
      <c r="I7" s="17" t="str">
        <f aca="false">IF(Setup!B15="","—",Setup!B15)</f>
        <v>X / Twitter</v>
      </c>
      <c r="J7" s="17" t="str">
        <f aca="false">IF(Setup!B16="","—",Setup!B16)</f>
        <v>Threads</v>
      </c>
      <c r="K7" s="17" t="str">
        <f aca="false">IF(Setup!B17="","—",Setup!B17)</f>
        <v>—</v>
      </c>
      <c r="L7" s="17" t="str">
        <f aca="false">IF(Setup!B18="","—",Setup!B18)</f>
        <v>—</v>
      </c>
      <c r="M7" s="95" t="s">
        <v>284</v>
      </c>
    </row>
    <row r="8" customFormat="false" ht="15" hidden="false" customHeight="false" outlineLevel="0" collapsed="false">
      <c r="B8" s="96" t="str">
        <f aca="false">TEXT(DATE($C$4,1,1),"mmm yyyy")</f>
        <v>Jan 2026</v>
      </c>
      <c r="C8" s="19" t="n">
        <v>4200</v>
      </c>
      <c r="D8" s="19" t="n">
        <v>1800</v>
      </c>
      <c r="E8" s="19" t="n">
        <v>610</v>
      </c>
      <c r="F8" s="19" t="n">
        <v>1500</v>
      </c>
      <c r="G8" s="19"/>
      <c r="H8" s="19" t="n">
        <v>900</v>
      </c>
      <c r="I8" s="19"/>
      <c r="J8" s="19"/>
      <c r="K8" s="19"/>
      <c r="L8" s="19"/>
      <c r="M8" s="97" t="n">
        <f aca="false">IF(COUNT(C8:L8)=0,"",SUM(C8:L8))</f>
        <v>9010</v>
      </c>
    </row>
    <row r="9" customFormat="false" ht="15" hidden="false" customHeight="false" outlineLevel="0" collapsed="false">
      <c r="B9" s="96" t="str">
        <f aca="false">TEXT(DATE($C$4,2,1),"mmm yyyy")</f>
        <v>Feb 2026</v>
      </c>
      <c r="C9" s="19" t="n">
        <v>4410</v>
      </c>
      <c r="D9" s="19" t="n">
        <v>2350</v>
      </c>
      <c r="E9" s="19" t="n">
        <v>640</v>
      </c>
      <c r="F9" s="19" t="n">
        <v>1560</v>
      </c>
      <c r="G9" s="19"/>
      <c r="H9" s="19" t="n">
        <v>980</v>
      </c>
      <c r="I9" s="19"/>
      <c r="J9" s="19"/>
      <c r="K9" s="19"/>
      <c r="L9" s="19"/>
      <c r="M9" s="97" t="n">
        <f aca="false">IF(COUNT(C9:L9)=0,"",SUM(C9:L9))</f>
        <v>9940</v>
      </c>
    </row>
    <row r="10" customFormat="false" ht="15" hidden="false" customHeight="false" outlineLevel="0" collapsed="false">
      <c r="B10" s="96" t="str">
        <f aca="false">TEXT(DATE($C$4,3,1),"mmm yyyy")</f>
        <v>Mar 2026</v>
      </c>
      <c r="C10" s="19" t="n">
        <v>4690</v>
      </c>
      <c r="D10" s="19" t="n">
        <v>2900</v>
      </c>
      <c r="E10" s="19" t="n">
        <v>690</v>
      </c>
      <c r="F10" s="19" t="n">
        <v>1610</v>
      </c>
      <c r="G10" s="19"/>
      <c r="H10" s="19" t="n">
        <v>1120</v>
      </c>
      <c r="I10" s="19"/>
      <c r="J10" s="19"/>
      <c r="K10" s="19"/>
      <c r="L10" s="19"/>
      <c r="M10" s="97" t="n">
        <f aca="false">IF(COUNT(C10:L10)=0,"",SUM(C10:L10))</f>
        <v>11010</v>
      </c>
    </row>
    <row r="11" customFormat="false" ht="15" hidden="false" customHeight="false" outlineLevel="0" collapsed="false">
      <c r="B11" s="96" t="str">
        <f aca="false">TEXT(DATE($C$4,4,1),"mmm yyyy")</f>
        <v>Apr 2026</v>
      </c>
      <c r="C11" s="19" t="n">
        <v>5020</v>
      </c>
      <c r="D11" s="19" t="n">
        <v>3800</v>
      </c>
      <c r="E11" s="19" t="n">
        <v>720</v>
      </c>
      <c r="F11" s="19" t="n">
        <v>1690</v>
      </c>
      <c r="G11" s="19"/>
      <c r="H11" s="19" t="n">
        <v>1210</v>
      </c>
      <c r="I11" s="19"/>
      <c r="J11" s="19"/>
      <c r="K11" s="19"/>
      <c r="L11" s="19"/>
      <c r="M11" s="97" t="n">
        <f aca="false">IF(COUNT(C11:L11)=0,"",SUM(C11:L11))</f>
        <v>12440</v>
      </c>
    </row>
    <row r="12" customFormat="false" ht="15" hidden="false" customHeight="false" outlineLevel="0" collapsed="false">
      <c r="B12" s="96" t="str">
        <f aca="false">TEXT(DATE($C$4,5,1),"mmm yyyy")</f>
        <v>May 2026</v>
      </c>
      <c r="C12" s="19" t="n">
        <v>5300</v>
      </c>
      <c r="D12" s="19" t="n">
        <v>4500</v>
      </c>
      <c r="E12" s="19" t="n">
        <v>790</v>
      </c>
      <c r="F12" s="19" t="n">
        <v>1740</v>
      </c>
      <c r="G12" s="19"/>
      <c r="H12" s="19" t="n">
        <v>1390</v>
      </c>
      <c r="I12" s="19"/>
      <c r="J12" s="19"/>
      <c r="K12" s="19"/>
      <c r="L12" s="19"/>
      <c r="M12" s="97" t="n">
        <f aca="false">IF(COUNT(C12:L12)=0,"",SUM(C12:L12))</f>
        <v>13720</v>
      </c>
    </row>
    <row r="13" customFormat="false" ht="15" hidden="false" customHeight="false" outlineLevel="0" collapsed="false">
      <c r="B13" s="96" t="str">
        <f aca="false">TEXT(DATE($C$4,6,1),"mmm yyyy")</f>
        <v>Jun 2026</v>
      </c>
      <c r="C13" s="19" t="n">
        <v>5710</v>
      </c>
      <c r="D13" s="19" t="n">
        <v>5900</v>
      </c>
      <c r="E13" s="19" t="n">
        <v>850</v>
      </c>
      <c r="F13" s="19" t="n">
        <v>1800</v>
      </c>
      <c r="G13" s="19"/>
      <c r="H13" s="19" t="n">
        <v>1500</v>
      </c>
      <c r="I13" s="19"/>
      <c r="J13" s="19"/>
      <c r="K13" s="19"/>
      <c r="L13" s="19"/>
      <c r="M13" s="97" t="n">
        <f aca="false">IF(COUNT(C13:L13)=0,"",SUM(C13:L13))</f>
        <v>15760</v>
      </c>
    </row>
    <row r="14" customFormat="false" ht="15" hidden="false" customHeight="false" outlineLevel="0" collapsed="false">
      <c r="B14" s="96" t="str">
        <f aca="false">TEXT(DATE($C$4,7,1),"mmm yyyy")</f>
        <v>Jul 2026</v>
      </c>
      <c r="C14" s="19" t="n">
        <v>6180</v>
      </c>
      <c r="D14" s="19" t="n">
        <v>7200</v>
      </c>
      <c r="E14" s="19" t="n">
        <v>920</v>
      </c>
      <c r="F14" s="19" t="n">
        <v>1890</v>
      </c>
      <c r="G14" s="19"/>
      <c r="H14" s="19" t="n">
        <v>1710</v>
      </c>
      <c r="I14" s="19"/>
      <c r="J14" s="19"/>
      <c r="K14" s="19"/>
      <c r="L14" s="19"/>
      <c r="M14" s="97" t="n">
        <f aca="false">IF(COUNT(C14:L14)=0,"",SUM(C14:L14))</f>
        <v>17900</v>
      </c>
    </row>
    <row r="15" customFormat="false" ht="15" hidden="false" customHeight="false" outlineLevel="0" collapsed="false">
      <c r="B15" s="96" t="str">
        <f aca="false">TEXT(DATE($C$4,8,1),"mmm yyyy")</f>
        <v>Aug 2026</v>
      </c>
      <c r="C15" s="19" t="n">
        <v>6640</v>
      </c>
      <c r="D15" s="19" t="n">
        <v>8100</v>
      </c>
      <c r="E15" s="19" t="n">
        <v>1010</v>
      </c>
      <c r="F15" s="19" t="n">
        <v>1960</v>
      </c>
      <c r="G15" s="19"/>
      <c r="H15" s="19" t="n">
        <v>1830</v>
      </c>
      <c r="I15" s="19"/>
      <c r="J15" s="19"/>
      <c r="K15" s="19"/>
      <c r="L15" s="19"/>
      <c r="M15" s="97" t="n">
        <f aca="false">IF(COUNT(C15:L15)=0,"",SUM(C15:L15))</f>
        <v>19540</v>
      </c>
    </row>
    <row r="16" customFormat="false" ht="15" hidden="false" customHeight="false" outlineLevel="0" collapsed="false">
      <c r="B16" s="96" t="str">
        <f aca="false">TEXT(DATE($C$4,9,1),"mmm yyyy")</f>
        <v>Sep 2026</v>
      </c>
      <c r="C16" s="19" t="n">
        <v>7105</v>
      </c>
      <c r="D16" s="19" t="n">
        <v>9400</v>
      </c>
      <c r="E16" s="19" t="n">
        <v>1100</v>
      </c>
      <c r="F16" s="19" t="n">
        <v>2040</v>
      </c>
      <c r="G16" s="19"/>
      <c r="H16" s="19" t="n">
        <v>2020</v>
      </c>
      <c r="I16" s="19"/>
      <c r="J16" s="19"/>
      <c r="K16" s="19"/>
      <c r="L16" s="19"/>
      <c r="M16" s="97" t="n">
        <f aca="false">IF(COUNT(C16:L16)=0,"",SUM(C16:L16))</f>
        <v>21665</v>
      </c>
    </row>
    <row r="17" customFormat="false" ht="15" hidden="false" customHeight="false" outlineLevel="0" collapsed="false">
      <c r="B17" s="96" t="str">
        <f aca="false">TEXT(DATE($C$4,10,1),"mmm yyyy")</f>
        <v>Oct 2026</v>
      </c>
      <c r="C17" s="19" t="n">
        <v>7690</v>
      </c>
      <c r="D17" s="19" t="n">
        <v>11200</v>
      </c>
      <c r="E17" s="19" t="n">
        <v>1230</v>
      </c>
      <c r="F17" s="19" t="n">
        <v>2110</v>
      </c>
      <c r="G17" s="19"/>
      <c r="H17" s="19" t="n">
        <v>2240</v>
      </c>
      <c r="I17" s="19"/>
      <c r="J17" s="19"/>
      <c r="K17" s="19"/>
      <c r="L17" s="19"/>
      <c r="M17" s="97" t="n">
        <f aca="false">IF(COUNT(C17:L17)=0,"",SUM(C17:L17))</f>
        <v>24470</v>
      </c>
    </row>
    <row r="18" customFormat="false" ht="15" hidden="false" customHeight="false" outlineLevel="0" collapsed="false">
      <c r="B18" s="96" t="str">
        <f aca="false">TEXT(DATE($C$4,11,1),"mmm yyyy")</f>
        <v>Nov 2026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97" t="str">
        <f aca="false">IF(COUNT(C18:L18)=0,"",SUM(C18:L18))</f>
        <v/>
      </c>
    </row>
    <row r="19" customFormat="false" ht="15" hidden="false" customHeight="false" outlineLevel="0" collapsed="false">
      <c r="B19" s="96" t="str">
        <f aca="false">TEXT(DATE($C$4,12,1),"mmm yyyy")</f>
        <v>Dec 2026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97" t="str">
        <f aca="false">IF(COUNT(C19:L19)=0,"",SUM(C19:L19))</f>
        <v/>
      </c>
    </row>
    <row r="21" customFormat="false" ht="15" hidden="false" customHeight="false" outlineLevel="0" collapsed="false">
      <c r="B21" s="82" t="s">
        <v>285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</row>
    <row r="22" customFormat="false" ht="27.75" hidden="false" customHeight="true" outlineLevel="0" collapsed="false">
      <c r="B22" s="17" t="s">
        <v>232</v>
      </c>
      <c r="C22" s="17" t="str">
        <f aca="false">IF(Setup!B9="","—",Setup!B9)</f>
        <v>Instagram</v>
      </c>
      <c r="D22" s="17" t="str">
        <f aca="false">IF(Setup!B10="","—",Setup!B10)</f>
        <v>TikTok</v>
      </c>
      <c r="E22" s="17" t="str">
        <f aca="false">IF(Setup!B11="","—",Setup!B11)</f>
        <v>YouTube</v>
      </c>
      <c r="F22" s="17" t="str">
        <f aca="false">IF(Setup!B12="","—",Setup!B12)</f>
        <v>LinkedIn</v>
      </c>
      <c r="G22" s="17" t="str">
        <f aca="false">IF(Setup!B13="","—",Setup!B13)</f>
        <v>Facebook</v>
      </c>
      <c r="H22" s="17" t="str">
        <f aca="false">IF(Setup!B14="","—",Setup!B14)</f>
        <v>Pinterest</v>
      </c>
      <c r="I22" s="17" t="str">
        <f aca="false">IF(Setup!B15="","—",Setup!B15)</f>
        <v>X / Twitter</v>
      </c>
      <c r="J22" s="17" t="str">
        <f aca="false">IF(Setup!B16="","—",Setup!B16)</f>
        <v>Threads</v>
      </c>
      <c r="K22" s="17" t="str">
        <f aca="false">IF(Setup!B17="","—",Setup!B17)</f>
        <v>—</v>
      </c>
      <c r="L22" s="17" t="str">
        <f aca="false">IF(Setup!B18="","—",Setup!B18)</f>
        <v>—</v>
      </c>
      <c r="M22" s="95" t="s">
        <v>284</v>
      </c>
    </row>
    <row r="23" customFormat="false" ht="15" hidden="false" customHeight="false" outlineLevel="0" collapsed="false">
      <c r="B23" s="96" t="str">
        <f aca="false">TEXT(DATE($C$4,1,1),"mmm yyyy")</f>
        <v>Jan 2026</v>
      </c>
      <c r="C23" s="98" t="str">
        <f aca="false">""</f>
        <v/>
      </c>
      <c r="D23" s="98" t="str">
        <f aca="false">""</f>
        <v/>
      </c>
      <c r="E23" s="98" t="str">
        <f aca="false">""</f>
        <v/>
      </c>
      <c r="F23" s="98" t="str">
        <f aca="false">""</f>
        <v/>
      </c>
      <c r="G23" s="98" t="str">
        <f aca="false">""</f>
        <v/>
      </c>
      <c r="H23" s="98" t="str">
        <f aca="false">""</f>
        <v/>
      </c>
      <c r="I23" s="98" t="str">
        <f aca="false">""</f>
        <v/>
      </c>
      <c r="J23" s="98" t="str">
        <f aca="false">""</f>
        <v/>
      </c>
      <c r="K23" s="98" t="str">
        <f aca="false">""</f>
        <v/>
      </c>
      <c r="L23" s="98" t="str">
        <f aca="false">""</f>
        <v/>
      </c>
      <c r="M23" s="98" t="str">
        <f aca="false">""</f>
        <v/>
      </c>
    </row>
    <row r="24" customFormat="false" ht="15" hidden="false" customHeight="false" outlineLevel="0" collapsed="false">
      <c r="B24" s="96" t="str">
        <f aca="false">TEXT(DATE($C$4,2,1),"mmm yyyy")</f>
        <v>Feb 2026</v>
      </c>
      <c r="C24" s="98" t="n">
        <f aca="false">IF(OR(C9="",C8=""),"",C9-C8)</f>
        <v>210</v>
      </c>
      <c r="D24" s="98" t="n">
        <f aca="false">IF(OR(D9="",D8=""),"",D9-D8)</f>
        <v>550</v>
      </c>
      <c r="E24" s="98" t="n">
        <f aca="false">IF(OR(E9="",E8=""),"",E9-E8)</f>
        <v>30</v>
      </c>
      <c r="F24" s="98" t="n">
        <f aca="false">IF(OR(F9="",F8=""),"",F9-F8)</f>
        <v>60</v>
      </c>
      <c r="G24" s="98" t="str">
        <f aca="false">IF(OR(G9="",G8=""),"",G9-G8)</f>
        <v/>
      </c>
      <c r="H24" s="98" t="n">
        <f aca="false">IF(OR(H9="",H8=""),"",H9-H8)</f>
        <v>80</v>
      </c>
      <c r="I24" s="98" t="str">
        <f aca="false">IF(OR(I9="",I8=""),"",I9-I8)</f>
        <v/>
      </c>
      <c r="J24" s="98" t="str">
        <f aca="false">IF(OR(J9="",J8=""),"",J9-J8)</f>
        <v/>
      </c>
      <c r="K24" s="98" t="str">
        <f aca="false">IF(OR(K9="",K8=""),"",K9-K8)</f>
        <v/>
      </c>
      <c r="L24" s="98" t="str">
        <f aca="false">IF(OR(L9="",L8=""),"",L9-L8)</f>
        <v/>
      </c>
      <c r="M24" s="98" t="n">
        <f aca="false">IF(OR(M9="",M8=""),"",M9-M8)</f>
        <v>930</v>
      </c>
    </row>
    <row r="25" customFormat="false" ht="15" hidden="false" customHeight="false" outlineLevel="0" collapsed="false">
      <c r="B25" s="96" t="str">
        <f aca="false">TEXT(DATE($C$4,3,1),"mmm yyyy")</f>
        <v>Mar 2026</v>
      </c>
      <c r="C25" s="98" t="n">
        <f aca="false">IF(OR(C10="",C9=""),"",C10-C9)</f>
        <v>280</v>
      </c>
      <c r="D25" s="98" t="n">
        <f aca="false">IF(OR(D10="",D9=""),"",D10-D9)</f>
        <v>550</v>
      </c>
      <c r="E25" s="98" t="n">
        <f aca="false">IF(OR(E10="",E9=""),"",E10-E9)</f>
        <v>50</v>
      </c>
      <c r="F25" s="98" t="n">
        <f aca="false">IF(OR(F10="",F9=""),"",F10-F9)</f>
        <v>50</v>
      </c>
      <c r="G25" s="98" t="str">
        <f aca="false">IF(OR(G10="",G9=""),"",G10-G9)</f>
        <v/>
      </c>
      <c r="H25" s="98" t="n">
        <f aca="false">IF(OR(H10="",H9=""),"",H10-H9)</f>
        <v>140</v>
      </c>
      <c r="I25" s="98" t="str">
        <f aca="false">IF(OR(I10="",I9=""),"",I10-I9)</f>
        <v/>
      </c>
      <c r="J25" s="98" t="str">
        <f aca="false">IF(OR(J10="",J9=""),"",J10-J9)</f>
        <v/>
      </c>
      <c r="K25" s="98" t="str">
        <f aca="false">IF(OR(K10="",K9=""),"",K10-K9)</f>
        <v/>
      </c>
      <c r="L25" s="98" t="str">
        <f aca="false">IF(OR(L10="",L9=""),"",L10-L9)</f>
        <v/>
      </c>
      <c r="M25" s="98" t="n">
        <f aca="false">IF(OR(M10="",M9=""),"",M10-M9)</f>
        <v>1070</v>
      </c>
    </row>
    <row r="26" customFormat="false" ht="15" hidden="false" customHeight="false" outlineLevel="0" collapsed="false">
      <c r="B26" s="96" t="str">
        <f aca="false">TEXT(DATE($C$4,4,1),"mmm yyyy")</f>
        <v>Apr 2026</v>
      </c>
      <c r="C26" s="98" t="n">
        <f aca="false">IF(OR(C11="",C10=""),"",C11-C10)</f>
        <v>330</v>
      </c>
      <c r="D26" s="98" t="n">
        <f aca="false">IF(OR(D11="",D10=""),"",D11-D10)</f>
        <v>900</v>
      </c>
      <c r="E26" s="98" t="n">
        <f aca="false">IF(OR(E11="",E10=""),"",E11-E10)</f>
        <v>30</v>
      </c>
      <c r="F26" s="98" t="n">
        <f aca="false">IF(OR(F11="",F10=""),"",F11-F10)</f>
        <v>80</v>
      </c>
      <c r="G26" s="98" t="str">
        <f aca="false">IF(OR(G11="",G10=""),"",G11-G10)</f>
        <v/>
      </c>
      <c r="H26" s="98" t="n">
        <f aca="false">IF(OR(H11="",H10=""),"",H11-H10)</f>
        <v>90</v>
      </c>
      <c r="I26" s="98" t="str">
        <f aca="false">IF(OR(I11="",I10=""),"",I11-I10)</f>
        <v/>
      </c>
      <c r="J26" s="98" t="str">
        <f aca="false">IF(OR(J11="",J10=""),"",J11-J10)</f>
        <v/>
      </c>
      <c r="K26" s="98" t="str">
        <f aca="false">IF(OR(K11="",K10=""),"",K11-K10)</f>
        <v/>
      </c>
      <c r="L26" s="98" t="str">
        <f aca="false">IF(OR(L11="",L10=""),"",L11-L10)</f>
        <v/>
      </c>
      <c r="M26" s="98" t="n">
        <f aca="false">IF(OR(M11="",M10=""),"",M11-M10)</f>
        <v>1430</v>
      </c>
    </row>
    <row r="27" customFormat="false" ht="15" hidden="false" customHeight="false" outlineLevel="0" collapsed="false">
      <c r="B27" s="96" t="str">
        <f aca="false">TEXT(DATE($C$4,5,1),"mmm yyyy")</f>
        <v>May 2026</v>
      </c>
      <c r="C27" s="98" t="n">
        <f aca="false">IF(OR(C12="",C11=""),"",C12-C11)</f>
        <v>280</v>
      </c>
      <c r="D27" s="98" t="n">
        <f aca="false">IF(OR(D12="",D11=""),"",D12-D11)</f>
        <v>700</v>
      </c>
      <c r="E27" s="98" t="n">
        <f aca="false">IF(OR(E12="",E11=""),"",E12-E11)</f>
        <v>70</v>
      </c>
      <c r="F27" s="98" t="n">
        <f aca="false">IF(OR(F12="",F11=""),"",F12-F11)</f>
        <v>50</v>
      </c>
      <c r="G27" s="98" t="str">
        <f aca="false">IF(OR(G12="",G11=""),"",G12-G11)</f>
        <v/>
      </c>
      <c r="H27" s="98" t="n">
        <f aca="false">IF(OR(H12="",H11=""),"",H12-H11)</f>
        <v>180</v>
      </c>
      <c r="I27" s="98" t="str">
        <f aca="false">IF(OR(I12="",I11=""),"",I12-I11)</f>
        <v/>
      </c>
      <c r="J27" s="98" t="str">
        <f aca="false">IF(OR(J12="",J11=""),"",J12-J11)</f>
        <v/>
      </c>
      <c r="K27" s="98" t="str">
        <f aca="false">IF(OR(K12="",K11=""),"",K12-K11)</f>
        <v/>
      </c>
      <c r="L27" s="98" t="str">
        <f aca="false">IF(OR(L12="",L11=""),"",L12-L11)</f>
        <v/>
      </c>
      <c r="M27" s="98" t="n">
        <f aca="false">IF(OR(M12="",M11=""),"",M12-M11)</f>
        <v>1280</v>
      </c>
    </row>
    <row r="28" customFormat="false" ht="15" hidden="false" customHeight="false" outlineLevel="0" collapsed="false">
      <c r="B28" s="96" t="str">
        <f aca="false">TEXT(DATE($C$4,6,1),"mmm yyyy")</f>
        <v>Jun 2026</v>
      </c>
      <c r="C28" s="98" t="n">
        <f aca="false">IF(OR(C13="",C12=""),"",C13-C12)</f>
        <v>410</v>
      </c>
      <c r="D28" s="98" t="n">
        <f aca="false">IF(OR(D13="",D12=""),"",D13-D12)</f>
        <v>1400</v>
      </c>
      <c r="E28" s="98" t="n">
        <f aca="false">IF(OR(E13="",E12=""),"",E13-E12)</f>
        <v>60</v>
      </c>
      <c r="F28" s="98" t="n">
        <f aca="false">IF(OR(F13="",F12=""),"",F13-F12)</f>
        <v>60</v>
      </c>
      <c r="G28" s="98" t="str">
        <f aca="false">IF(OR(G13="",G12=""),"",G13-G12)</f>
        <v/>
      </c>
      <c r="H28" s="98" t="n">
        <f aca="false">IF(OR(H13="",H12=""),"",H13-H12)</f>
        <v>110</v>
      </c>
      <c r="I28" s="98" t="str">
        <f aca="false">IF(OR(I13="",I12=""),"",I13-I12)</f>
        <v/>
      </c>
      <c r="J28" s="98" t="str">
        <f aca="false">IF(OR(J13="",J12=""),"",J13-J12)</f>
        <v/>
      </c>
      <c r="K28" s="98" t="str">
        <f aca="false">IF(OR(K13="",K12=""),"",K13-K12)</f>
        <v/>
      </c>
      <c r="L28" s="98" t="str">
        <f aca="false">IF(OR(L13="",L12=""),"",L13-L12)</f>
        <v/>
      </c>
      <c r="M28" s="98" t="n">
        <f aca="false">IF(OR(M13="",M12=""),"",M13-M12)</f>
        <v>2040</v>
      </c>
    </row>
    <row r="29" customFormat="false" ht="15" hidden="false" customHeight="false" outlineLevel="0" collapsed="false">
      <c r="B29" s="96" t="str">
        <f aca="false">TEXT(DATE($C$4,7,1),"mmm yyyy")</f>
        <v>Jul 2026</v>
      </c>
      <c r="C29" s="98" t="n">
        <f aca="false">IF(OR(C14="",C13=""),"",C14-C13)</f>
        <v>470</v>
      </c>
      <c r="D29" s="98" t="n">
        <f aca="false">IF(OR(D14="",D13=""),"",D14-D13)</f>
        <v>1300</v>
      </c>
      <c r="E29" s="98" t="n">
        <f aca="false">IF(OR(E14="",E13=""),"",E14-E13)</f>
        <v>70</v>
      </c>
      <c r="F29" s="98" t="n">
        <f aca="false">IF(OR(F14="",F13=""),"",F14-F13)</f>
        <v>90</v>
      </c>
      <c r="G29" s="98" t="str">
        <f aca="false">IF(OR(G14="",G13=""),"",G14-G13)</f>
        <v/>
      </c>
      <c r="H29" s="98" t="n">
        <f aca="false">IF(OR(H14="",H13=""),"",H14-H13)</f>
        <v>210</v>
      </c>
      <c r="I29" s="98" t="str">
        <f aca="false">IF(OR(I14="",I13=""),"",I14-I13)</f>
        <v/>
      </c>
      <c r="J29" s="98" t="str">
        <f aca="false">IF(OR(J14="",J13=""),"",J14-J13)</f>
        <v/>
      </c>
      <c r="K29" s="98" t="str">
        <f aca="false">IF(OR(K14="",K13=""),"",K14-K13)</f>
        <v/>
      </c>
      <c r="L29" s="98" t="str">
        <f aca="false">IF(OR(L14="",L13=""),"",L14-L13)</f>
        <v/>
      </c>
      <c r="M29" s="98" t="n">
        <f aca="false">IF(OR(M14="",M13=""),"",M14-M13)</f>
        <v>2140</v>
      </c>
    </row>
    <row r="30" customFormat="false" ht="15" hidden="false" customHeight="false" outlineLevel="0" collapsed="false">
      <c r="B30" s="96" t="str">
        <f aca="false">TEXT(DATE($C$4,8,1),"mmm yyyy")</f>
        <v>Aug 2026</v>
      </c>
      <c r="C30" s="98" t="n">
        <f aca="false">IF(OR(C15="",C14=""),"",C15-C14)</f>
        <v>460</v>
      </c>
      <c r="D30" s="98" t="n">
        <f aca="false">IF(OR(D15="",D14=""),"",D15-D14)</f>
        <v>900</v>
      </c>
      <c r="E30" s="98" t="n">
        <f aca="false">IF(OR(E15="",E14=""),"",E15-E14)</f>
        <v>90</v>
      </c>
      <c r="F30" s="98" t="n">
        <f aca="false">IF(OR(F15="",F14=""),"",F15-F14)</f>
        <v>70</v>
      </c>
      <c r="G30" s="98" t="str">
        <f aca="false">IF(OR(G15="",G14=""),"",G15-G14)</f>
        <v/>
      </c>
      <c r="H30" s="98" t="n">
        <f aca="false">IF(OR(H15="",H14=""),"",H15-H14)</f>
        <v>120</v>
      </c>
      <c r="I30" s="98" t="str">
        <f aca="false">IF(OR(I15="",I14=""),"",I15-I14)</f>
        <v/>
      </c>
      <c r="J30" s="98" t="str">
        <f aca="false">IF(OR(J15="",J14=""),"",J15-J14)</f>
        <v/>
      </c>
      <c r="K30" s="98" t="str">
        <f aca="false">IF(OR(K15="",K14=""),"",K15-K14)</f>
        <v/>
      </c>
      <c r="L30" s="98" t="str">
        <f aca="false">IF(OR(L15="",L14=""),"",L15-L14)</f>
        <v/>
      </c>
      <c r="M30" s="98" t="n">
        <f aca="false">IF(OR(M15="",M14=""),"",M15-M14)</f>
        <v>1640</v>
      </c>
    </row>
    <row r="31" customFormat="false" ht="15" hidden="false" customHeight="false" outlineLevel="0" collapsed="false">
      <c r="B31" s="96" t="str">
        <f aca="false">TEXT(DATE($C$4,9,1),"mmm yyyy")</f>
        <v>Sep 2026</v>
      </c>
      <c r="C31" s="98" t="n">
        <f aca="false">IF(OR(C16="",C15=""),"",C16-C15)</f>
        <v>465</v>
      </c>
      <c r="D31" s="98" t="n">
        <f aca="false">IF(OR(D16="",D15=""),"",D16-D15)</f>
        <v>1300</v>
      </c>
      <c r="E31" s="98" t="n">
        <f aca="false">IF(OR(E16="",E15=""),"",E16-E15)</f>
        <v>90</v>
      </c>
      <c r="F31" s="98" t="n">
        <f aca="false">IF(OR(F16="",F15=""),"",F16-F15)</f>
        <v>80</v>
      </c>
      <c r="G31" s="98" t="str">
        <f aca="false">IF(OR(G16="",G15=""),"",G16-G15)</f>
        <v/>
      </c>
      <c r="H31" s="98" t="n">
        <f aca="false">IF(OR(H16="",H15=""),"",H16-H15)</f>
        <v>190</v>
      </c>
      <c r="I31" s="98" t="str">
        <f aca="false">IF(OR(I16="",I15=""),"",I16-I15)</f>
        <v/>
      </c>
      <c r="J31" s="98" t="str">
        <f aca="false">IF(OR(J16="",J15=""),"",J16-J15)</f>
        <v/>
      </c>
      <c r="K31" s="98" t="str">
        <f aca="false">IF(OR(K16="",K15=""),"",K16-K15)</f>
        <v/>
      </c>
      <c r="L31" s="98" t="str">
        <f aca="false">IF(OR(L16="",L15=""),"",L16-L15)</f>
        <v/>
      </c>
      <c r="M31" s="98" t="n">
        <f aca="false">IF(OR(M16="",M15=""),"",M16-M15)</f>
        <v>2125</v>
      </c>
    </row>
    <row r="32" customFormat="false" ht="15" hidden="false" customHeight="false" outlineLevel="0" collapsed="false">
      <c r="B32" s="96" t="str">
        <f aca="false">TEXT(DATE($C$4,10,1),"mmm yyyy")</f>
        <v>Oct 2026</v>
      </c>
      <c r="C32" s="98" t="n">
        <f aca="false">IF(OR(C17="",C16=""),"",C17-C16)</f>
        <v>585</v>
      </c>
      <c r="D32" s="98" t="n">
        <f aca="false">IF(OR(D17="",D16=""),"",D17-D16)</f>
        <v>1800</v>
      </c>
      <c r="E32" s="98" t="n">
        <f aca="false">IF(OR(E17="",E16=""),"",E17-E16)</f>
        <v>130</v>
      </c>
      <c r="F32" s="98" t="n">
        <f aca="false">IF(OR(F17="",F16=""),"",F17-F16)</f>
        <v>70</v>
      </c>
      <c r="G32" s="98" t="str">
        <f aca="false">IF(OR(G17="",G16=""),"",G17-G16)</f>
        <v/>
      </c>
      <c r="H32" s="98" t="n">
        <f aca="false">IF(OR(H17="",H16=""),"",H17-H16)</f>
        <v>220</v>
      </c>
      <c r="I32" s="98" t="str">
        <f aca="false">IF(OR(I17="",I16=""),"",I17-I16)</f>
        <v/>
      </c>
      <c r="J32" s="98" t="str">
        <f aca="false">IF(OR(J17="",J16=""),"",J17-J16)</f>
        <v/>
      </c>
      <c r="K32" s="98" t="str">
        <f aca="false">IF(OR(K17="",K16=""),"",K17-K16)</f>
        <v/>
      </c>
      <c r="L32" s="98" t="str">
        <f aca="false">IF(OR(L17="",L16=""),"",L17-L16)</f>
        <v/>
      </c>
      <c r="M32" s="98" t="n">
        <f aca="false">IF(OR(M17="",M16=""),"",M17-M16)</f>
        <v>2805</v>
      </c>
    </row>
    <row r="33" customFormat="false" ht="15" hidden="false" customHeight="false" outlineLevel="0" collapsed="false">
      <c r="B33" s="96" t="str">
        <f aca="false">TEXT(DATE($C$4,11,1),"mmm yyyy")</f>
        <v>Nov 2026</v>
      </c>
      <c r="C33" s="98" t="str">
        <f aca="false">IF(OR(C18="",C17=""),"",C18-C17)</f>
        <v/>
      </c>
      <c r="D33" s="98" t="str">
        <f aca="false">IF(OR(D18="",D17=""),"",D18-D17)</f>
        <v/>
      </c>
      <c r="E33" s="98" t="str">
        <f aca="false">IF(OR(E18="",E17=""),"",E18-E17)</f>
        <v/>
      </c>
      <c r="F33" s="98" t="str">
        <f aca="false">IF(OR(F18="",F17=""),"",F18-F17)</f>
        <v/>
      </c>
      <c r="G33" s="98" t="str">
        <f aca="false">IF(OR(G18="",G17=""),"",G18-G17)</f>
        <v/>
      </c>
      <c r="H33" s="98" t="str">
        <f aca="false">IF(OR(H18="",H17=""),"",H18-H17)</f>
        <v/>
      </c>
      <c r="I33" s="98" t="str">
        <f aca="false">IF(OR(I18="",I17=""),"",I18-I17)</f>
        <v/>
      </c>
      <c r="J33" s="98" t="str">
        <f aca="false">IF(OR(J18="",J17=""),"",J18-J17)</f>
        <v/>
      </c>
      <c r="K33" s="98" t="str">
        <f aca="false">IF(OR(K18="",K17=""),"",K18-K17)</f>
        <v/>
      </c>
      <c r="L33" s="98" t="str">
        <f aca="false">IF(OR(L18="",L17=""),"",L18-L17)</f>
        <v/>
      </c>
      <c r="M33" s="98" t="str">
        <f aca="false">IF(OR(M18="",M17=""),"",M18-M17)</f>
        <v/>
      </c>
    </row>
    <row r="34" customFormat="false" ht="15" hidden="false" customHeight="false" outlineLevel="0" collapsed="false">
      <c r="B34" s="96" t="str">
        <f aca="false">TEXT(DATE($C$4,12,1),"mmm yyyy")</f>
        <v>Dec 2026</v>
      </c>
      <c r="C34" s="98" t="str">
        <f aca="false">IF(OR(C19="",C18=""),"",C19-C18)</f>
        <v/>
      </c>
      <c r="D34" s="98" t="str">
        <f aca="false">IF(OR(D19="",D18=""),"",D19-D18)</f>
        <v/>
      </c>
      <c r="E34" s="98" t="str">
        <f aca="false">IF(OR(E19="",E18=""),"",E19-E18)</f>
        <v/>
      </c>
      <c r="F34" s="98" t="str">
        <f aca="false">IF(OR(F19="",F18=""),"",F19-F18)</f>
        <v/>
      </c>
      <c r="G34" s="98" t="str">
        <f aca="false">IF(OR(G19="",G18=""),"",G19-G18)</f>
        <v/>
      </c>
      <c r="H34" s="98" t="str">
        <f aca="false">IF(OR(H19="",H18=""),"",H19-H18)</f>
        <v/>
      </c>
      <c r="I34" s="98" t="str">
        <f aca="false">IF(OR(I19="",I18=""),"",I19-I18)</f>
        <v/>
      </c>
      <c r="J34" s="98" t="str">
        <f aca="false">IF(OR(J19="",J18=""),"",J19-J18)</f>
        <v/>
      </c>
      <c r="K34" s="98" t="str">
        <f aca="false">IF(OR(K19="",K18=""),"",K19-K18)</f>
        <v/>
      </c>
      <c r="L34" s="98" t="str">
        <f aca="false">IF(OR(L19="",L18=""),"",L19-L18)</f>
        <v/>
      </c>
      <c r="M34" s="98" t="str">
        <f aca="false">IF(OR(M19="",M18=""),"",M19-M18)</f>
        <v/>
      </c>
    </row>
    <row r="36" customFormat="false" ht="15" hidden="false" customHeight="false" outlineLevel="0" collapsed="false">
      <c r="B36" s="82" t="s">
        <v>286</v>
      </c>
      <c r="C36" s="83"/>
      <c r="D36" s="83"/>
      <c r="E36" s="83"/>
      <c r="F36" s="83"/>
      <c r="G36" s="83"/>
      <c r="H36" s="83"/>
      <c r="I36" s="83"/>
      <c r="J36" s="83"/>
      <c r="K36" s="83"/>
      <c r="L36" s="83"/>
      <c r="M36" s="83"/>
    </row>
    <row r="37" customFormat="false" ht="27.75" hidden="false" customHeight="true" outlineLevel="0" collapsed="false">
      <c r="B37" s="17" t="s">
        <v>232</v>
      </c>
      <c r="C37" s="17" t="str">
        <f aca="false">IF(Setup!B9="","—",Setup!B9)</f>
        <v>Instagram</v>
      </c>
      <c r="D37" s="17" t="str">
        <f aca="false">IF(Setup!B10="","—",Setup!B10)</f>
        <v>TikTok</v>
      </c>
      <c r="E37" s="17" t="str">
        <f aca="false">IF(Setup!B11="","—",Setup!B11)</f>
        <v>YouTube</v>
      </c>
      <c r="F37" s="17" t="str">
        <f aca="false">IF(Setup!B12="","—",Setup!B12)</f>
        <v>LinkedIn</v>
      </c>
      <c r="G37" s="17" t="str">
        <f aca="false">IF(Setup!B13="","—",Setup!B13)</f>
        <v>Facebook</v>
      </c>
      <c r="H37" s="17" t="str">
        <f aca="false">IF(Setup!B14="","—",Setup!B14)</f>
        <v>Pinterest</v>
      </c>
      <c r="I37" s="17" t="str">
        <f aca="false">IF(Setup!B15="","—",Setup!B15)</f>
        <v>X / Twitter</v>
      </c>
      <c r="J37" s="17" t="str">
        <f aca="false">IF(Setup!B16="","—",Setup!B16)</f>
        <v>Threads</v>
      </c>
      <c r="K37" s="17" t="str">
        <f aca="false">IF(Setup!B17="","—",Setup!B17)</f>
        <v>—</v>
      </c>
      <c r="L37" s="17" t="str">
        <f aca="false">IF(Setup!B18="","—",Setup!B18)</f>
        <v>—</v>
      </c>
      <c r="M37" s="95" t="s">
        <v>284</v>
      </c>
    </row>
    <row r="38" customFormat="false" ht="15" hidden="false" customHeight="false" outlineLevel="0" collapsed="false">
      <c r="B38" s="96" t="str">
        <f aca="false">TEXT(DATE($C$4,1,1),"mmm yyyy")</f>
        <v>Jan 2026</v>
      </c>
      <c r="C38" s="99" t="str">
        <f aca="false">""</f>
        <v/>
      </c>
      <c r="D38" s="99" t="str">
        <f aca="false">""</f>
        <v/>
      </c>
      <c r="E38" s="99" t="str">
        <f aca="false">""</f>
        <v/>
      </c>
      <c r="F38" s="99" t="str">
        <f aca="false">""</f>
        <v/>
      </c>
      <c r="G38" s="99" t="str">
        <f aca="false">""</f>
        <v/>
      </c>
      <c r="H38" s="99" t="str">
        <f aca="false">""</f>
        <v/>
      </c>
      <c r="I38" s="99" t="str">
        <f aca="false">""</f>
        <v/>
      </c>
      <c r="J38" s="99" t="str">
        <f aca="false">""</f>
        <v/>
      </c>
      <c r="K38" s="99" t="str">
        <f aca="false">""</f>
        <v/>
      </c>
      <c r="L38" s="99" t="str">
        <f aca="false">""</f>
        <v/>
      </c>
      <c r="M38" s="99" t="str">
        <f aca="false">""</f>
        <v/>
      </c>
    </row>
    <row r="39" customFormat="false" ht="15" hidden="false" customHeight="false" outlineLevel="0" collapsed="false">
      <c r="B39" s="96" t="str">
        <f aca="false">TEXT(DATE($C$4,2,1),"mmm yyyy")</f>
        <v>Feb 2026</v>
      </c>
      <c r="C39" s="99" t="n">
        <f aca="false">IF(OR(C9="",N(C8)=0),"",C9/C8-1)</f>
        <v>0.05</v>
      </c>
      <c r="D39" s="99" t="n">
        <f aca="false">IF(OR(D9="",N(D8)=0),"",D9/D8-1)</f>
        <v>0.305555555555556</v>
      </c>
      <c r="E39" s="99" t="n">
        <f aca="false">IF(OR(E9="",N(E8)=0),"",E9/E8-1)</f>
        <v>0.0491803278688525</v>
      </c>
      <c r="F39" s="99" t="n">
        <f aca="false">IF(OR(F9="",N(F8)=0),"",F9/F8-1)</f>
        <v>0.04</v>
      </c>
      <c r="G39" s="99" t="str">
        <f aca="false">IF(OR(G9="",N(G8)=0),"",G9/G8-1)</f>
        <v/>
      </c>
      <c r="H39" s="99" t="n">
        <f aca="false">IF(OR(H9="",N(H8)=0),"",H9/H8-1)</f>
        <v>0.0888888888888888</v>
      </c>
      <c r="I39" s="99" t="str">
        <f aca="false">IF(OR(I9="",N(I8)=0),"",I9/I8-1)</f>
        <v/>
      </c>
      <c r="J39" s="99" t="str">
        <f aca="false">IF(OR(J9="",N(J8)=0),"",J9/J8-1)</f>
        <v/>
      </c>
      <c r="K39" s="99" t="str">
        <f aca="false">IF(OR(K9="",N(K8)=0),"",K9/K8-1)</f>
        <v/>
      </c>
      <c r="L39" s="99" t="str">
        <f aca="false">IF(OR(L9="",N(L8)=0),"",L9/L8-1)</f>
        <v/>
      </c>
      <c r="M39" s="99" t="n">
        <f aca="false">IF(OR(M9="",N(M8)=0),"",M9/M8-1)</f>
        <v>0.103218645948946</v>
      </c>
    </row>
    <row r="40" customFormat="false" ht="15" hidden="false" customHeight="false" outlineLevel="0" collapsed="false">
      <c r="B40" s="96" t="str">
        <f aca="false">TEXT(DATE($C$4,3,1),"mmm yyyy")</f>
        <v>Mar 2026</v>
      </c>
      <c r="C40" s="99" t="n">
        <f aca="false">IF(OR(C10="",N(C9)=0),"",C10/C9-1)</f>
        <v>0.0634920634920635</v>
      </c>
      <c r="D40" s="99" t="n">
        <f aca="false">IF(OR(D10="",N(D9)=0),"",D10/D9-1)</f>
        <v>0.234042553191489</v>
      </c>
      <c r="E40" s="99" t="n">
        <f aca="false">IF(OR(E10="",N(E9)=0),"",E10/E9-1)</f>
        <v>0.078125</v>
      </c>
      <c r="F40" s="99" t="n">
        <f aca="false">IF(OR(F10="",N(F9)=0),"",F10/F9-1)</f>
        <v>0.0320512820512822</v>
      </c>
      <c r="G40" s="99" t="str">
        <f aca="false">IF(OR(G10="",N(G9)=0),"",G10/G9-1)</f>
        <v/>
      </c>
      <c r="H40" s="99" t="n">
        <f aca="false">IF(OR(H10="",N(H9)=0),"",H10/H9-1)</f>
        <v>0.142857142857143</v>
      </c>
      <c r="I40" s="99" t="str">
        <f aca="false">IF(OR(I10="",N(I9)=0),"",I10/I9-1)</f>
        <v/>
      </c>
      <c r="J40" s="99" t="str">
        <f aca="false">IF(OR(J10="",N(J9)=0),"",J10/J9-1)</f>
        <v/>
      </c>
      <c r="K40" s="99" t="str">
        <f aca="false">IF(OR(K10="",N(K9)=0),"",K10/K9-1)</f>
        <v/>
      </c>
      <c r="L40" s="99" t="str">
        <f aca="false">IF(OR(L10="",N(L9)=0),"",L10/L9-1)</f>
        <v/>
      </c>
      <c r="M40" s="99" t="n">
        <f aca="false">IF(OR(M10="",N(M9)=0),"",M10/M9-1)</f>
        <v>0.107645875251509</v>
      </c>
    </row>
    <row r="41" customFormat="false" ht="15" hidden="false" customHeight="false" outlineLevel="0" collapsed="false">
      <c r="B41" s="96" t="str">
        <f aca="false">TEXT(DATE($C$4,4,1),"mmm yyyy")</f>
        <v>Apr 2026</v>
      </c>
      <c r="C41" s="99" t="n">
        <f aca="false">IF(OR(C11="",N(C10)=0),"",C11/C10-1)</f>
        <v>0.0703624733475481</v>
      </c>
      <c r="D41" s="99" t="n">
        <f aca="false">IF(OR(D11="",N(D10)=0),"",D11/D10-1)</f>
        <v>0.310344827586207</v>
      </c>
      <c r="E41" s="99" t="n">
        <f aca="false">IF(OR(E11="",N(E10)=0),"",E11/E10-1)</f>
        <v>0.0434782608695652</v>
      </c>
      <c r="F41" s="99" t="n">
        <f aca="false">IF(OR(F11="",N(F10)=0),"",F11/F10-1)</f>
        <v>0.0496894409937889</v>
      </c>
      <c r="G41" s="99" t="str">
        <f aca="false">IF(OR(G11="",N(G10)=0),"",G11/G10-1)</f>
        <v/>
      </c>
      <c r="H41" s="99" t="n">
        <f aca="false">IF(OR(H11="",N(H10)=0),"",H11/H10-1)</f>
        <v>0.0803571428571428</v>
      </c>
      <c r="I41" s="99" t="str">
        <f aca="false">IF(OR(I11="",N(I10)=0),"",I11/I10-1)</f>
        <v/>
      </c>
      <c r="J41" s="99" t="str">
        <f aca="false">IF(OR(J11="",N(J10)=0),"",J11/J10-1)</f>
        <v/>
      </c>
      <c r="K41" s="99" t="str">
        <f aca="false">IF(OR(K11="",N(K10)=0),"",K11/K10-1)</f>
        <v/>
      </c>
      <c r="L41" s="99" t="str">
        <f aca="false">IF(OR(L11="",N(L10)=0),"",L11/L10-1)</f>
        <v/>
      </c>
      <c r="M41" s="99" t="n">
        <f aca="false">IF(OR(M11="",N(M10)=0),"",M11/M10-1)</f>
        <v>0.129881925522253</v>
      </c>
    </row>
    <row r="42" customFormat="false" ht="15" hidden="false" customHeight="false" outlineLevel="0" collapsed="false">
      <c r="B42" s="96" t="str">
        <f aca="false">TEXT(DATE($C$4,5,1),"mmm yyyy")</f>
        <v>May 2026</v>
      </c>
      <c r="C42" s="99" t="n">
        <f aca="false">IF(OR(C12="",N(C11)=0),"",C12/C11-1)</f>
        <v>0.0557768924302788</v>
      </c>
      <c r="D42" s="99" t="n">
        <f aca="false">IF(OR(D12="",N(D11)=0),"",D12/D11-1)</f>
        <v>0.184210526315789</v>
      </c>
      <c r="E42" s="99" t="n">
        <f aca="false">IF(OR(E12="",N(E11)=0),"",E12/E11-1)</f>
        <v>0.0972222222222223</v>
      </c>
      <c r="F42" s="99" t="n">
        <f aca="false">IF(OR(F12="",N(F11)=0),"",F12/F11-1)</f>
        <v>0.029585798816568</v>
      </c>
      <c r="G42" s="99" t="str">
        <f aca="false">IF(OR(G12="",N(G11)=0),"",G12/G11-1)</f>
        <v/>
      </c>
      <c r="H42" s="99" t="n">
        <f aca="false">IF(OR(H12="",N(H11)=0),"",H12/H11-1)</f>
        <v>0.148760330578512</v>
      </c>
      <c r="I42" s="99" t="str">
        <f aca="false">IF(OR(I12="",N(I11)=0),"",I12/I11-1)</f>
        <v/>
      </c>
      <c r="J42" s="99" t="str">
        <f aca="false">IF(OR(J12="",N(J11)=0),"",J12/J11-1)</f>
        <v/>
      </c>
      <c r="K42" s="99" t="str">
        <f aca="false">IF(OR(K12="",N(K11)=0),"",K12/K11-1)</f>
        <v/>
      </c>
      <c r="L42" s="99" t="str">
        <f aca="false">IF(OR(L12="",N(L11)=0),"",L12/L11-1)</f>
        <v/>
      </c>
      <c r="M42" s="99" t="n">
        <f aca="false">IF(OR(M12="",N(M11)=0),"",M12/M11-1)</f>
        <v>0.102893890675241</v>
      </c>
    </row>
    <row r="43" customFormat="false" ht="15" hidden="false" customHeight="false" outlineLevel="0" collapsed="false">
      <c r="B43" s="96" t="str">
        <f aca="false">TEXT(DATE($C$4,6,1),"mmm yyyy")</f>
        <v>Jun 2026</v>
      </c>
      <c r="C43" s="99" t="n">
        <f aca="false">IF(OR(C13="",N(C12)=0),"",C13/C12-1)</f>
        <v>0.0773584905660378</v>
      </c>
      <c r="D43" s="99" t="n">
        <f aca="false">IF(OR(D13="",N(D12)=0),"",D13/D12-1)</f>
        <v>0.311111111111111</v>
      </c>
      <c r="E43" s="99" t="n">
        <f aca="false">IF(OR(E13="",N(E12)=0),"",E13/E12-1)</f>
        <v>0.0759493670886076</v>
      </c>
      <c r="F43" s="99" t="n">
        <f aca="false">IF(OR(F13="",N(F12)=0),"",F13/F12-1)</f>
        <v>0.0344827586206897</v>
      </c>
      <c r="G43" s="99" t="str">
        <f aca="false">IF(OR(G13="",N(G12)=0),"",G13/G12-1)</f>
        <v/>
      </c>
      <c r="H43" s="99" t="n">
        <f aca="false">IF(OR(H13="",N(H12)=0),"",H13/H12-1)</f>
        <v>0.079136690647482</v>
      </c>
      <c r="I43" s="99" t="str">
        <f aca="false">IF(OR(I13="",N(I12)=0),"",I13/I12-1)</f>
        <v/>
      </c>
      <c r="J43" s="99" t="str">
        <f aca="false">IF(OR(J13="",N(J12)=0),"",J13/J12-1)</f>
        <v/>
      </c>
      <c r="K43" s="99" t="str">
        <f aca="false">IF(OR(K13="",N(K12)=0),"",K13/K12-1)</f>
        <v/>
      </c>
      <c r="L43" s="99" t="str">
        <f aca="false">IF(OR(L13="",N(L12)=0),"",L13/L12-1)</f>
        <v/>
      </c>
      <c r="M43" s="99" t="n">
        <f aca="false">IF(OR(M13="",N(M12)=0),"",M13/M12-1)</f>
        <v>0.14868804664723</v>
      </c>
    </row>
    <row r="44" customFormat="false" ht="15" hidden="false" customHeight="false" outlineLevel="0" collapsed="false">
      <c r="B44" s="96" t="str">
        <f aca="false">TEXT(DATE($C$4,7,1),"mmm yyyy")</f>
        <v>Jul 2026</v>
      </c>
      <c r="C44" s="99" t="n">
        <f aca="false">IF(OR(C14="",N(C13)=0),"",C14/C13-1)</f>
        <v>0.0823117338003503</v>
      </c>
      <c r="D44" s="99" t="n">
        <f aca="false">IF(OR(D14="",N(D13)=0),"",D14/D13-1)</f>
        <v>0.220338983050848</v>
      </c>
      <c r="E44" s="99" t="n">
        <f aca="false">IF(OR(E14="",N(E13)=0),"",E14/E13-1)</f>
        <v>0.0823529411764705</v>
      </c>
      <c r="F44" s="99" t="n">
        <f aca="false">IF(OR(F14="",N(F13)=0),"",F14/F13-1)</f>
        <v>0.05</v>
      </c>
      <c r="G44" s="99" t="str">
        <f aca="false">IF(OR(G14="",N(G13)=0),"",G14/G13-1)</f>
        <v/>
      </c>
      <c r="H44" s="99" t="n">
        <f aca="false">IF(OR(H14="",N(H13)=0),"",H14/H13-1)</f>
        <v>0.14</v>
      </c>
      <c r="I44" s="99" t="str">
        <f aca="false">IF(OR(I14="",N(I13)=0),"",I14/I13-1)</f>
        <v/>
      </c>
      <c r="J44" s="99" t="str">
        <f aca="false">IF(OR(J14="",N(J13)=0),"",J14/J13-1)</f>
        <v/>
      </c>
      <c r="K44" s="99" t="str">
        <f aca="false">IF(OR(K14="",N(K13)=0),"",K14/K13-1)</f>
        <v/>
      </c>
      <c r="L44" s="99" t="str">
        <f aca="false">IF(OR(L14="",N(L13)=0),"",L14/L13-1)</f>
        <v/>
      </c>
      <c r="M44" s="99" t="n">
        <f aca="false">IF(OR(M14="",N(M13)=0),"",M14/M13-1)</f>
        <v>0.135786802030457</v>
      </c>
    </row>
    <row r="45" customFormat="false" ht="15" hidden="false" customHeight="false" outlineLevel="0" collapsed="false">
      <c r="B45" s="96" t="str">
        <f aca="false">TEXT(DATE($C$4,8,1),"mmm yyyy")</f>
        <v>Aug 2026</v>
      </c>
      <c r="C45" s="99" t="n">
        <f aca="false">IF(OR(C15="",N(C14)=0),"",C15/C14-1)</f>
        <v>0.0744336569579287</v>
      </c>
      <c r="D45" s="99" t="n">
        <f aca="false">IF(OR(D15="",N(D14)=0),"",D15/D14-1)</f>
        <v>0.125</v>
      </c>
      <c r="E45" s="99" t="n">
        <f aca="false">IF(OR(E15="",N(E14)=0),"",E15/E14-1)</f>
        <v>0.0978260869565217</v>
      </c>
      <c r="F45" s="99" t="n">
        <f aca="false">IF(OR(F15="",N(F14)=0),"",F15/F14-1)</f>
        <v>0.037037037037037</v>
      </c>
      <c r="G45" s="99" t="str">
        <f aca="false">IF(OR(G15="",N(G14)=0),"",G15/G14-1)</f>
        <v/>
      </c>
      <c r="H45" s="99" t="n">
        <f aca="false">IF(OR(H15="",N(H14)=0),"",H15/H14-1)</f>
        <v>0.0701754385964912</v>
      </c>
      <c r="I45" s="99" t="str">
        <f aca="false">IF(OR(I15="",N(I14)=0),"",I15/I14-1)</f>
        <v/>
      </c>
      <c r="J45" s="99" t="str">
        <f aca="false">IF(OR(J15="",N(J14)=0),"",J15/J14-1)</f>
        <v/>
      </c>
      <c r="K45" s="99" t="str">
        <f aca="false">IF(OR(K15="",N(K14)=0),"",K15/K14-1)</f>
        <v/>
      </c>
      <c r="L45" s="99" t="str">
        <f aca="false">IF(OR(L15="",N(L14)=0),"",L15/L14-1)</f>
        <v/>
      </c>
      <c r="M45" s="99" t="n">
        <f aca="false">IF(OR(M15="",N(M14)=0),"",M15/M14-1)</f>
        <v>0.0916201117318436</v>
      </c>
    </row>
    <row r="46" customFormat="false" ht="15" hidden="false" customHeight="false" outlineLevel="0" collapsed="false">
      <c r="B46" s="96" t="str">
        <f aca="false">TEXT(DATE($C$4,9,1),"mmm yyyy")</f>
        <v>Sep 2026</v>
      </c>
      <c r="C46" s="99" t="n">
        <f aca="false">IF(OR(C16="",N(C15)=0),"",C16/C15-1)</f>
        <v>0.0700301204819278</v>
      </c>
      <c r="D46" s="99" t="n">
        <f aca="false">IF(OR(D16="",N(D15)=0),"",D16/D15-1)</f>
        <v>0.160493827160494</v>
      </c>
      <c r="E46" s="99" t="n">
        <f aca="false">IF(OR(E16="",N(E15)=0),"",E16/E15-1)</f>
        <v>0.0891089108910892</v>
      </c>
      <c r="F46" s="99" t="n">
        <f aca="false">IF(OR(F16="",N(F15)=0),"",F16/F15-1)</f>
        <v>0.0408163265306123</v>
      </c>
      <c r="G46" s="99" t="str">
        <f aca="false">IF(OR(G16="",N(G15)=0),"",G16/G15-1)</f>
        <v/>
      </c>
      <c r="H46" s="99" t="n">
        <f aca="false">IF(OR(H16="",N(H15)=0),"",H16/H15-1)</f>
        <v>0.103825136612022</v>
      </c>
      <c r="I46" s="99" t="str">
        <f aca="false">IF(OR(I16="",N(I15)=0),"",I16/I15-1)</f>
        <v/>
      </c>
      <c r="J46" s="99" t="str">
        <f aca="false">IF(OR(J16="",N(J15)=0),"",J16/J15-1)</f>
        <v/>
      </c>
      <c r="K46" s="99" t="str">
        <f aca="false">IF(OR(K16="",N(K15)=0),"",K16/K15-1)</f>
        <v/>
      </c>
      <c r="L46" s="99" t="str">
        <f aca="false">IF(OR(L16="",N(L15)=0),"",L16/L15-1)</f>
        <v/>
      </c>
      <c r="M46" s="99" t="n">
        <f aca="false">IF(OR(M16="",N(M15)=0),"",M16/M15-1)</f>
        <v>0.108751279426817</v>
      </c>
    </row>
    <row r="47" customFormat="false" ht="15" hidden="false" customHeight="false" outlineLevel="0" collapsed="false">
      <c r="B47" s="96" t="str">
        <f aca="false">TEXT(DATE($C$4,10,1),"mmm yyyy")</f>
        <v>Oct 2026</v>
      </c>
      <c r="C47" s="99" t="n">
        <f aca="false">IF(OR(C17="",N(C16)=0),"",C17/C16-1)</f>
        <v>0.0823363828289936</v>
      </c>
      <c r="D47" s="99" t="n">
        <f aca="false">IF(OR(D17="",N(D16)=0),"",D17/D16-1)</f>
        <v>0.191489361702128</v>
      </c>
      <c r="E47" s="99" t="n">
        <f aca="false">IF(OR(E17="",N(E16)=0),"",E17/E16-1)</f>
        <v>0.118181818181818</v>
      </c>
      <c r="F47" s="99" t="n">
        <f aca="false">IF(OR(F17="",N(F16)=0),"",F17/F16-1)</f>
        <v>0.0343137254901962</v>
      </c>
      <c r="G47" s="99" t="str">
        <f aca="false">IF(OR(G17="",N(G16)=0),"",G17/G16-1)</f>
        <v/>
      </c>
      <c r="H47" s="99" t="n">
        <f aca="false">IF(OR(H17="",N(H16)=0),"",H17/H16-1)</f>
        <v>0.108910891089109</v>
      </c>
      <c r="I47" s="99" t="str">
        <f aca="false">IF(OR(I17="",N(I16)=0),"",I17/I16-1)</f>
        <v/>
      </c>
      <c r="J47" s="99" t="str">
        <f aca="false">IF(OR(J17="",N(J16)=0),"",J17/J16-1)</f>
        <v/>
      </c>
      <c r="K47" s="99" t="str">
        <f aca="false">IF(OR(K17="",N(K16)=0),"",K17/K16-1)</f>
        <v/>
      </c>
      <c r="L47" s="99" t="str">
        <f aca="false">IF(OR(L17="",N(L16)=0),"",L17/L16-1)</f>
        <v/>
      </c>
      <c r="M47" s="99" t="n">
        <f aca="false">IF(OR(M17="",N(M16)=0),"",M17/M16-1)</f>
        <v>0.129471497807524</v>
      </c>
    </row>
    <row r="48" customFormat="false" ht="15" hidden="false" customHeight="false" outlineLevel="0" collapsed="false">
      <c r="B48" s="96" t="str">
        <f aca="false">TEXT(DATE($C$4,11,1),"mmm yyyy")</f>
        <v>Nov 2026</v>
      </c>
      <c r="C48" s="99" t="str">
        <f aca="false">IF(OR(C18="",N(C17)=0),"",C18/C17-1)</f>
        <v/>
      </c>
      <c r="D48" s="99" t="str">
        <f aca="false">IF(OR(D18="",N(D17)=0),"",D18/D17-1)</f>
        <v/>
      </c>
      <c r="E48" s="99" t="str">
        <f aca="false">IF(OR(E18="",N(E17)=0),"",E18/E17-1)</f>
        <v/>
      </c>
      <c r="F48" s="99" t="str">
        <f aca="false">IF(OR(F18="",N(F17)=0),"",F18/F17-1)</f>
        <v/>
      </c>
      <c r="G48" s="99" t="str">
        <f aca="false">IF(OR(G18="",N(G17)=0),"",G18/G17-1)</f>
        <v/>
      </c>
      <c r="H48" s="99" t="str">
        <f aca="false">IF(OR(H18="",N(H17)=0),"",H18/H17-1)</f>
        <v/>
      </c>
      <c r="I48" s="99" t="str">
        <f aca="false">IF(OR(I18="",N(I17)=0),"",I18/I17-1)</f>
        <v/>
      </c>
      <c r="J48" s="99" t="str">
        <f aca="false">IF(OR(J18="",N(J17)=0),"",J18/J17-1)</f>
        <v/>
      </c>
      <c r="K48" s="99" t="str">
        <f aca="false">IF(OR(K18="",N(K17)=0),"",K18/K17-1)</f>
        <v/>
      </c>
      <c r="L48" s="99" t="str">
        <f aca="false">IF(OR(L18="",N(L17)=0),"",L18/L17-1)</f>
        <v/>
      </c>
      <c r="M48" s="99" t="str">
        <f aca="false">IF(OR(M18="",N(M17)=0),"",M18/M17-1)</f>
        <v/>
      </c>
    </row>
    <row r="49" customFormat="false" ht="15" hidden="false" customHeight="false" outlineLevel="0" collapsed="false">
      <c r="B49" s="96" t="str">
        <f aca="false">TEXT(DATE($C$4,12,1),"mmm yyyy")</f>
        <v>Dec 2026</v>
      </c>
      <c r="C49" s="99" t="str">
        <f aca="false">IF(OR(C19="",N(C18)=0),"",C19/C18-1)</f>
        <v/>
      </c>
      <c r="D49" s="99" t="str">
        <f aca="false">IF(OR(D19="",N(D18)=0),"",D19/D18-1)</f>
        <v/>
      </c>
      <c r="E49" s="99" t="str">
        <f aca="false">IF(OR(E19="",N(E18)=0),"",E19/E18-1)</f>
        <v/>
      </c>
      <c r="F49" s="99" t="str">
        <f aca="false">IF(OR(F19="",N(F18)=0),"",F19/F18-1)</f>
        <v/>
      </c>
      <c r="G49" s="99" t="str">
        <f aca="false">IF(OR(G19="",N(G18)=0),"",G19/G18-1)</f>
        <v/>
      </c>
      <c r="H49" s="99" t="str">
        <f aca="false">IF(OR(H19="",N(H18)=0),"",H19/H18-1)</f>
        <v/>
      </c>
      <c r="I49" s="99" t="str">
        <f aca="false">IF(OR(I19="",N(I18)=0),"",I19/I18-1)</f>
        <v/>
      </c>
      <c r="J49" s="99" t="str">
        <f aca="false">IF(OR(J19="",N(J18)=0),"",J19/J18-1)</f>
        <v/>
      </c>
      <c r="K49" s="99" t="str">
        <f aca="false">IF(OR(K19="",N(K18)=0),"",K19/K18-1)</f>
        <v/>
      </c>
      <c r="L49" s="99" t="str">
        <f aca="false">IF(OR(L19="",N(L18)=0),"",L19/L18-1)</f>
        <v/>
      </c>
      <c r="M49" s="99" t="str">
        <f aca="false">IF(OR(M19="",N(M18)=0),"",M19/M18-1)</f>
        <v/>
      </c>
    </row>
  </sheetData>
  <conditionalFormatting sqref="C23:M34">
    <cfRule type="expression" priority="2" aboveAverage="0" equalAverage="0" bottom="0" percent="0" rank="0" text="" dxfId="33">
      <formula>AND(C23&lt;&gt;"",C23&lt;0)</formula>
    </cfRule>
    <cfRule type="expression" priority="3" aboveAverage="0" equalAverage="0" bottom="0" percent="0" rank="0" text="" dxfId="34">
      <formula>AND(C23&lt;&gt;"",C23&gt;0)</formula>
    </cfRule>
  </conditionalFormatting>
  <conditionalFormatting sqref="C38:M49">
    <cfRule type="expression" priority="4" aboveAverage="0" equalAverage="0" bottom="0" percent="0" rank="0" text="" dxfId="33">
      <formula>AND(C38&lt;&gt;"",C38&lt;0)</formula>
    </cfRule>
    <cfRule type="expression" priority="5" aboveAverage="0" equalAverage="0" bottom="0" percent="0" rank="0" text="" dxfId="34">
      <formula>AND(C38&lt;&gt;"",C38&gt;0)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B26F"/>
    <pageSetUpPr fitToPage="true"/>
  </sheetPr>
  <dimension ref="A1:J2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4" min="3" style="0" width="13"/>
    <col collapsed="false" customWidth="true" hidden="false" outlineLevel="0" max="5" min="5" style="0" width="17"/>
    <col collapsed="false" customWidth="true" hidden="false" outlineLevel="0" max="6" min="6" style="0" width="10"/>
    <col collapsed="false" customWidth="true" hidden="false" outlineLevel="0" max="7" min="7" style="0" width="26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26"/>
  </cols>
  <sheetData>
    <row r="1" customFormat="false" ht="33.75" hidden="false" customHeight="true" outlineLevel="0" collapsed="false">
      <c r="B1" s="1" t="s">
        <v>287</v>
      </c>
    </row>
    <row r="2" customFormat="false" ht="19.5" hidden="false" customHeight="true" outlineLevel="0" collapsed="false">
      <c r="A2" s="2"/>
      <c r="B2" s="3" t="s">
        <v>288</v>
      </c>
      <c r="C2" s="2"/>
      <c r="D2" s="2"/>
      <c r="E2" s="2"/>
      <c r="F2" s="2"/>
      <c r="G2" s="2"/>
      <c r="H2" s="2"/>
      <c r="I2" s="2"/>
      <c r="J2" s="2"/>
    </row>
    <row r="4" customFormat="false" ht="30" hidden="false" customHeight="true" outlineLevel="0" collapsed="false">
      <c r="B4" s="17" t="s">
        <v>63</v>
      </c>
      <c r="C4" s="17" t="s">
        <v>132</v>
      </c>
      <c r="D4" s="17" t="s">
        <v>45</v>
      </c>
      <c r="E4" s="17" t="s">
        <v>131</v>
      </c>
      <c r="F4" s="17" t="s">
        <v>289</v>
      </c>
      <c r="G4" s="17" t="s">
        <v>290</v>
      </c>
      <c r="H4" s="17" t="s">
        <v>291</v>
      </c>
      <c r="I4" s="17" t="s">
        <v>54</v>
      </c>
      <c r="J4" s="17" t="s">
        <v>153</v>
      </c>
    </row>
    <row r="5" customFormat="false" ht="15" hidden="false" customHeight="false" outlineLevel="0" collapsed="false">
      <c r="B5" s="16" t="s">
        <v>292</v>
      </c>
      <c r="C5" s="16" t="s">
        <v>68</v>
      </c>
      <c r="D5" s="16" t="s">
        <v>58</v>
      </c>
      <c r="E5" s="16" t="s">
        <v>70</v>
      </c>
      <c r="F5" s="16" t="s">
        <v>293</v>
      </c>
      <c r="G5" s="16" t="s">
        <v>294</v>
      </c>
      <c r="H5" s="43" t="n">
        <v>46285</v>
      </c>
      <c r="I5" s="16" t="s">
        <v>295</v>
      </c>
      <c r="J5" s="16"/>
    </row>
    <row r="6" customFormat="false" ht="15" hidden="false" customHeight="false" outlineLevel="0" collapsed="false">
      <c r="B6" s="16" t="s">
        <v>296</v>
      </c>
      <c r="C6" s="16" t="s">
        <v>60</v>
      </c>
      <c r="D6" s="16" t="s">
        <v>67</v>
      </c>
      <c r="E6" s="16" t="s">
        <v>62</v>
      </c>
      <c r="F6" s="16" t="s">
        <v>293</v>
      </c>
      <c r="G6" s="16"/>
      <c r="H6" s="43" t="n">
        <v>46290</v>
      </c>
      <c r="I6" s="16" t="s">
        <v>295</v>
      </c>
      <c r="J6" s="16"/>
    </row>
    <row r="7" customFormat="false" ht="15" hidden="false" customHeight="false" outlineLevel="0" collapsed="false">
      <c r="B7" s="16" t="s">
        <v>297</v>
      </c>
      <c r="C7" s="16" t="s">
        <v>94</v>
      </c>
      <c r="D7" s="16" t="s">
        <v>58</v>
      </c>
      <c r="E7" s="16" t="s">
        <v>87</v>
      </c>
      <c r="F7" s="16" t="s">
        <v>298</v>
      </c>
      <c r="G7" s="16"/>
      <c r="H7" s="43" t="n">
        <v>46293</v>
      </c>
      <c r="I7" s="16" t="s">
        <v>295</v>
      </c>
      <c r="J7" s="16"/>
    </row>
    <row r="8" customFormat="false" ht="15" hidden="false" customHeight="false" outlineLevel="0" collapsed="false">
      <c r="B8" s="16" t="s">
        <v>299</v>
      </c>
      <c r="C8" s="16" t="s">
        <v>60</v>
      </c>
      <c r="D8" s="16" t="s">
        <v>75</v>
      </c>
      <c r="E8" s="16" t="s">
        <v>96</v>
      </c>
      <c r="F8" s="16" t="s">
        <v>298</v>
      </c>
      <c r="G8" s="16"/>
      <c r="H8" s="43" t="n">
        <v>46296</v>
      </c>
      <c r="I8" s="16" t="s">
        <v>300</v>
      </c>
      <c r="J8" s="16"/>
    </row>
    <row r="9" customFormat="false" ht="15" hidden="false" customHeight="false" outlineLevel="0" collapsed="false">
      <c r="B9" s="16" t="s">
        <v>301</v>
      </c>
      <c r="C9" s="16" t="s">
        <v>85</v>
      </c>
      <c r="D9" s="16" t="s">
        <v>100</v>
      </c>
      <c r="E9" s="16" t="s">
        <v>113</v>
      </c>
      <c r="F9" s="16" t="s">
        <v>302</v>
      </c>
      <c r="G9" s="16"/>
      <c r="H9" s="43" t="n">
        <v>46297</v>
      </c>
      <c r="I9" s="16" t="s">
        <v>295</v>
      </c>
      <c r="J9" s="16"/>
    </row>
    <row r="10" customFormat="false" ht="15" hidden="false" customHeight="false" outlineLevel="0" collapsed="false">
      <c r="B10" s="16" t="s">
        <v>229</v>
      </c>
      <c r="C10" s="16" t="s">
        <v>76</v>
      </c>
      <c r="D10" s="16" t="s">
        <v>67</v>
      </c>
      <c r="E10" s="16" t="s">
        <v>62</v>
      </c>
      <c r="F10" s="16" t="s">
        <v>298</v>
      </c>
      <c r="G10" s="16"/>
      <c r="H10" s="43" t="n">
        <v>46298</v>
      </c>
      <c r="I10" s="16" t="s">
        <v>303</v>
      </c>
      <c r="J10" s="16"/>
    </row>
    <row r="11" customFormat="false" ht="15" hidden="false" customHeight="false" outlineLevel="0" collapsed="false">
      <c r="B11" s="16"/>
      <c r="C11" s="16"/>
      <c r="D11" s="16"/>
      <c r="E11" s="16"/>
      <c r="F11" s="16"/>
      <c r="G11" s="16"/>
      <c r="H11" s="43"/>
      <c r="I11" s="16"/>
      <c r="J11" s="16"/>
    </row>
    <row r="12" customFormat="false" ht="15" hidden="false" customHeight="false" outlineLevel="0" collapsed="false">
      <c r="B12" s="16"/>
      <c r="C12" s="16"/>
      <c r="D12" s="16"/>
      <c r="E12" s="16"/>
      <c r="F12" s="16"/>
      <c r="G12" s="16"/>
      <c r="H12" s="43"/>
      <c r="I12" s="16"/>
      <c r="J12" s="16"/>
    </row>
    <row r="13" customFormat="false" ht="15" hidden="false" customHeight="false" outlineLevel="0" collapsed="false">
      <c r="B13" s="16"/>
      <c r="C13" s="16"/>
      <c r="D13" s="16"/>
      <c r="E13" s="16"/>
      <c r="F13" s="16"/>
      <c r="G13" s="16"/>
      <c r="H13" s="43"/>
      <c r="I13" s="16"/>
      <c r="J13" s="16"/>
    </row>
    <row r="14" customFormat="false" ht="15" hidden="false" customHeight="false" outlineLevel="0" collapsed="false">
      <c r="B14" s="16"/>
      <c r="C14" s="16"/>
      <c r="D14" s="16"/>
      <c r="E14" s="16"/>
      <c r="F14" s="16"/>
      <c r="G14" s="16"/>
      <c r="H14" s="43"/>
      <c r="I14" s="16"/>
      <c r="J14" s="16"/>
    </row>
    <row r="15" customFormat="false" ht="15" hidden="false" customHeight="false" outlineLevel="0" collapsed="false">
      <c r="B15" s="16"/>
      <c r="C15" s="16"/>
      <c r="D15" s="16"/>
      <c r="E15" s="16"/>
      <c r="F15" s="16"/>
      <c r="G15" s="16"/>
      <c r="H15" s="43"/>
      <c r="I15" s="16"/>
      <c r="J15" s="16"/>
    </row>
    <row r="16" customFormat="false" ht="15" hidden="false" customHeight="false" outlineLevel="0" collapsed="false">
      <c r="B16" s="16"/>
      <c r="C16" s="16"/>
      <c r="D16" s="16"/>
      <c r="E16" s="16"/>
      <c r="F16" s="16"/>
      <c r="G16" s="16"/>
      <c r="H16" s="43"/>
      <c r="I16" s="16"/>
      <c r="J16" s="16"/>
    </row>
    <row r="17" customFormat="false" ht="15" hidden="false" customHeight="false" outlineLevel="0" collapsed="false">
      <c r="B17" s="16"/>
      <c r="C17" s="16"/>
      <c r="D17" s="16"/>
      <c r="E17" s="16"/>
      <c r="F17" s="16"/>
      <c r="G17" s="16"/>
      <c r="H17" s="43"/>
      <c r="I17" s="16"/>
      <c r="J17" s="16"/>
    </row>
    <row r="18" customFormat="false" ht="15" hidden="false" customHeight="false" outlineLevel="0" collapsed="false">
      <c r="B18" s="16"/>
      <c r="C18" s="16"/>
      <c r="D18" s="16"/>
      <c r="E18" s="16"/>
      <c r="F18" s="16"/>
      <c r="G18" s="16"/>
      <c r="H18" s="43"/>
      <c r="I18" s="16"/>
      <c r="J18" s="16"/>
    </row>
    <row r="19" customFormat="false" ht="15" hidden="false" customHeight="false" outlineLevel="0" collapsed="false">
      <c r="B19" s="16"/>
      <c r="C19" s="16"/>
      <c r="D19" s="16"/>
      <c r="E19" s="16"/>
      <c r="F19" s="16"/>
      <c r="G19" s="16"/>
      <c r="H19" s="43"/>
      <c r="I19" s="16"/>
      <c r="J19" s="16"/>
    </row>
    <row r="20" customFormat="false" ht="15" hidden="false" customHeight="false" outlineLevel="0" collapsed="false">
      <c r="B20" s="16"/>
      <c r="C20" s="16"/>
      <c r="D20" s="16"/>
      <c r="E20" s="16"/>
      <c r="F20" s="16"/>
      <c r="G20" s="16"/>
      <c r="H20" s="43"/>
      <c r="I20" s="16"/>
      <c r="J20" s="16"/>
    </row>
    <row r="21" customFormat="false" ht="15" hidden="false" customHeight="false" outlineLevel="0" collapsed="false">
      <c r="B21" s="16"/>
      <c r="C21" s="16"/>
      <c r="D21" s="16"/>
      <c r="E21" s="16"/>
      <c r="F21" s="16"/>
      <c r="G21" s="16"/>
      <c r="H21" s="43"/>
      <c r="I21" s="16"/>
      <c r="J21" s="16"/>
    </row>
    <row r="22" customFormat="false" ht="15" hidden="false" customHeight="false" outlineLevel="0" collapsed="false">
      <c r="B22" s="16"/>
      <c r="C22" s="16"/>
      <c r="D22" s="16"/>
      <c r="E22" s="16"/>
      <c r="F22" s="16"/>
      <c r="G22" s="16"/>
      <c r="H22" s="43"/>
      <c r="I22" s="16"/>
      <c r="J22" s="16"/>
    </row>
    <row r="23" customFormat="false" ht="15" hidden="false" customHeight="false" outlineLevel="0" collapsed="false">
      <c r="B23" s="16"/>
      <c r="C23" s="16"/>
      <c r="D23" s="16"/>
      <c r="E23" s="16"/>
      <c r="F23" s="16"/>
      <c r="G23" s="16"/>
      <c r="H23" s="43"/>
      <c r="I23" s="16"/>
      <c r="J23" s="16"/>
    </row>
    <row r="24" customFormat="false" ht="15" hidden="false" customHeight="false" outlineLevel="0" collapsed="false">
      <c r="B24" s="16"/>
      <c r="C24" s="16"/>
      <c r="D24" s="16"/>
      <c r="E24" s="16"/>
      <c r="F24" s="16"/>
      <c r="G24" s="16"/>
      <c r="H24" s="43"/>
      <c r="I24" s="16"/>
      <c r="J24" s="16"/>
    </row>
    <row r="25" customFormat="false" ht="15" hidden="false" customHeight="false" outlineLevel="0" collapsed="false">
      <c r="B25" s="16"/>
      <c r="C25" s="16"/>
      <c r="D25" s="16"/>
      <c r="E25" s="16"/>
      <c r="F25" s="16"/>
      <c r="G25" s="16"/>
      <c r="H25" s="43"/>
      <c r="I25" s="16"/>
      <c r="J25" s="16"/>
    </row>
    <row r="26" customFormat="false" ht="15" hidden="false" customHeight="false" outlineLevel="0" collapsed="false">
      <c r="B26" s="16"/>
      <c r="C26" s="16"/>
      <c r="D26" s="16"/>
      <c r="E26" s="16"/>
      <c r="F26" s="16"/>
      <c r="G26" s="16"/>
      <c r="H26" s="43"/>
      <c r="I26" s="16"/>
      <c r="J26" s="16"/>
    </row>
    <row r="27" customFormat="false" ht="15" hidden="false" customHeight="false" outlineLevel="0" collapsed="false">
      <c r="B27" s="16"/>
      <c r="C27" s="16"/>
      <c r="D27" s="16"/>
      <c r="E27" s="16"/>
      <c r="F27" s="16"/>
      <c r="G27" s="16"/>
      <c r="H27" s="43"/>
      <c r="I27" s="16"/>
      <c r="J27" s="16"/>
    </row>
    <row r="28" customFormat="false" ht="15" hidden="false" customHeight="false" outlineLevel="0" collapsed="false">
      <c r="B28" s="16"/>
      <c r="C28" s="16"/>
      <c r="D28" s="16"/>
      <c r="E28" s="16"/>
      <c r="F28" s="16"/>
      <c r="G28" s="16"/>
      <c r="H28" s="43"/>
      <c r="I28" s="16"/>
      <c r="J28" s="16"/>
    </row>
    <row r="29" customFormat="false" ht="15" hidden="false" customHeight="false" outlineLevel="0" collapsed="false">
      <c r="B29" s="16"/>
      <c r="C29" s="16"/>
      <c r="D29" s="16"/>
      <c r="E29" s="16"/>
      <c r="F29" s="16"/>
      <c r="G29" s="16"/>
      <c r="H29" s="43"/>
      <c r="I29" s="16"/>
      <c r="J29" s="16"/>
    </row>
    <row r="30" customFormat="false" ht="15" hidden="false" customHeight="false" outlineLevel="0" collapsed="false">
      <c r="B30" s="16"/>
      <c r="C30" s="16"/>
      <c r="D30" s="16"/>
      <c r="E30" s="16"/>
      <c r="F30" s="16"/>
      <c r="G30" s="16"/>
      <c r="H30" s="43"/>
      <c r="I30" s="16"/>
      <c r="J30" s="16"/>
    </row>
    <row r="31" customFormat="false" ht="15" hidden="false" customHeight="false" outlineLevel="0" collapsed="false">
      <c r="B31" s="16"/>
      <c r="C31" s="16"/>
      <c r="D31" s="16"/>
      <c r="E31" s="16"/>
      <c r="F31" s="16"/>
      <c r="G31" s="16"/>
      <c r="H31" s="43"/>
      <c r="I31" s="16"/>
      <c r="J31" s="16"/>
    </row>
    <row r="32" customFormat="false" ht="15" hidden="false" customHeight="false" outlineLevel="0" collapsed="false">
      <c r="B32" s="16"/>
      <c r="C32" s="16"/>
      <c r="D32" s="16"/>
      <c r="E32" s="16"/>
      <c r="F32" s="16"/>
      <c r="G32" s="16"/>
      <c r="H32" s="43"/>
      <c r="I32" s="16"/>
      <c r="J32" s="16"/>
    </row>
    <row r="33" customFormat="false" ht="15" hidden="false" customHeight="false" outlineLevel="0" collapsed="false">
      <c r="B33" s="16"/>
      <c r="C33" s="16"/>
      <c r="D33" s="16"/>
      <c r="E33" s="16"/>
      <c r="F33" s="16"/>
      <c r="G33" s="16"/>
      <c r="H33" s="43"/>
      <c r="I33" s="16"/>
      <c r="J33" s="16"/>
    </row>
    <row r="34" customFormat="false" ht="15" hidden="false" customHeight="false" outlineLevel="0" collapsed="false">
      <c r="B34" s="16"/>
      <c r="C34" s="16"/>
      <c r="D34" s="16"/>
      <c r="E34" s="16"/>
      <c r="F34" s="16"/>
      <c r="G34" s="16"/>
      <c r="H34" s="43"/>
      <c r="I34" s="16"/>
      <c r="J34" s="16"/>
    </row>
    <row r="35" customFormat="false" ht="15" hidden="false" customHeight="false" outlineLevel="0" collapsed="false">
      <c r="B35" s="16"/>
      <c r="C35" s="16"/>
      <c r="D35" s="16"/>
      <c r="E35" s="16"/>
      <c r="F35" s="16"/>
      <c r="G35" s="16"/>
      <c r="H35" s="43"/>
      <c r="I35" s="16"/>
      <c r="J35" s="16"/>
    </row>
    <row r="36" customFormat="false" ht="15" hidden="false" customHeight="false" outlineLevel="0" collapsed="false">
      <c r="B36" s="16"/>
      <c r="C36" s="16"/>
      <c r="D36" s="16"/>
      <c r="E36" s="16"/>
      <c r="F36" s="16"/>
      <c r="G36" s="16"/>
      <c r="H36" s="43"/>
      <c r="I36" s="16"/>
      <c r="J36" s="16"/>
    </row>
    <row r="37" customFormat="false" ht="15" hidden="false" customHeight="false" outlineLevel="0" collapsed="false">
      <c r="B37" s="16"/>
      <c r="C37" s="16"/>
      <c r="D37" s="16"/>
      <c r="E37" s="16"/>
      <c r="F37" s="16"/>
      <c r="G37" s="16"/>
      <c r="H37" s="43"/>
      <c r="I37" s="16"/>
      <c r="J37" s="16"/>
    </row>
    <row r="38" customFormat="false" ht="15" hidden="false" customHeight="false" outlineLevel="0" collapsed="false">
      <c r="B38" s="16"/>
      <c r="C38" s="16"/>
      <c r="D38" s="16"/>
      <c r="E38" s="16"/>
      <c r="F38" s="16"/>
      <c r="G38" s="16"/>
      <c r="H38" s="43"/>
      <c r="I38" s="16"/>
      <c r="J38" s="16"/>
    </row>
    <row r="39" customFormat="false" ht="15" hidden="false" customHeight="false" outlineLevel="0" collapsed="false">
      <c r="B39" s="16"/>
      <c r="C39" s="16"/>
      <c r="D39" s="16"/>
      <c r="E39" s="16"/>
      <c r="F39" s="16"/>
      <c r="G39" s="16"/>
      <c r="H39" s="43"/>
      <c r="I39" s="16"/>
      <c r="J39" s="16"/>
    </row>
    <row r="40" customFormat="false" ht="15" hidden="false" customHeight="false" outlineLevel="0" collapsed="false">
      <c r="B40" s="16"/>
      <c r="C40" s="16"/>
      <c r="D40" s="16"/>
      <c r="E40" s="16"/>
      <c r="F40" s="16"/>
      <c r="G40" s="16"/>
      <c r="H40" s="43"/>
      <c r="I40" s="16"/>
      <c r="J40" s="16"/>
    </row>
    <row r="41" customFormat="false" ht="15" hidden="false" customHeight="false" outlineLevel="0" collapsed="false">
      <c r="B41" s="16"/>
      <c r="C41" s="16"/>
      <c r="D41" s="16"/>
      <c r="E41" s="16"/>
      <c r="F41" s="16"/>
      <c r="G41" s="16"/>
      <c r="H41" s="43"/>
      <c r="I41" s="16"/>
      <c r="J41" s="16"/>
    </row>
    <row r="42" customFormat="false" ht="15" hidden="false" customHeight="false" outlineLevel="0" collapsed="false">
      <c r="B42" s="16"/>
      <c r="C42" s="16"/>
      <c r="D42" s="16"/>
      <c r="E42" s="16"/>
      <c r="F42" s="16"/>
      <c r="G42" s="16"/>
      <c r="H42" s="43"/>
      <c r="I42" s="16"/>
      <c r="J42" s="16"/>
    </row>
    <row r="43" customFormat="false" ht="15" hidden="false" customHeight="false" outlineLevel="0" collapsed="false">
      <c r="B43" s="16"/>
      <c r="C43" s="16"/>
      <c r="D43" s="16"/>
      <c r="E43" s="16"/>
      <c r="F43" s="16"/>
      <c r="G43" s="16"/>
      <c r="H43" s="43"/>
      <c r="I43" s="16"/>
      <c r="J43" s="16"/>
    </row>
    <row r="44" customFormat="false" ht="15" hidden="false" customHeight="false" outlineLevel="0" collapsed="false">
      <c r="B44" s="16"/>
      <c r="C44" s="16"/>
      <c r="D44" s="16"/>
      <c r="E44" s="16"/>
      <c r="F44" s="16"/>
      <c r="G44" s="16"/>
      <c r="H44" s="43"/>
      <c r="I44" s="16"/>
      <c r="J44" s="16"/>
    </row>
    <row r="45" customFormat="false" ht="15" hidden="false" customHeight="false" outlineLevel="0" collapsed="false">
      <c r="B45" s="16"/>
      <c r="C45" s="16"/>
      <c r="D45" s="16"/>
      <c r="E45" s="16"/>
      <c r="F45" s="16"/>
      <c r="G45" s="16"/>
      <c r="H45" s="43"/>
      <c r="I45" s="16"/>
      <c r="J45" s="16"/>
    </row>
    <row r="46" customFormat="false" ht="15" hidden="false" customHeight="false" outlineLevel="0" collapsed="false">
      <c r="B46" s="16"/>
      <c r="C46" s="16"/>
      <c r="D46" s="16"/>
      <c r="E46" s="16"/>
      <c r="F46" s="16"/>
      <c r="G46" s="16"/>
      <c r="H46" s="43"/>
      <c r="I46" s="16"/>
      <c r="J46" s="16"/>
    </row>
    <row r="47" customFormat="false" ht="15" hidden="false" customHeight="false" outlineLevel="0" collapsed="false">
      <c r="B47" s="16"/>
      <c r="C47" s="16"/>
      <c r="D47" s="16"/>
      <c r="E47" s="16"/>
      <c r="F47" s="16"/>
      <c r="G47" s="16"/>
      <c r="H47" s="43"/>
      <c r="I47" s="16"/>
      <c r="J47" s="16"/>
    </row>
    <row r="48" customFormat="false" ht="15" hidden="false" customHeight="false" outlineLevel="0" collapsed="false">
      <c r="B48" s="16"/>
      <c r="C48" s="16"/>
      <c r="D48" s="16"/>
      <c r="E48" s="16"/>
      <c r="F48" s="16"/>
      <c r="G48" s="16"/>
      <c r="H48" s="43"/>
      <c r="I48" s="16"/>
      <c r="J48" s="16"/>
    </row>
    <row r="49" customFormat="false" ht="15" hidden="false" customHeight="false" outlineLevel="0" collapsed="false">
      <c r="B49" s="16"/>
      <c r="C49" s="16"/>
      <c r="D49" s="16"/>
      <c r="E49" s="16"/>
      <c r="F49" s="16"/>
      <c r="G49" s="16"/>
      <c r="H49" s="43"/>
      <c r="I49" s="16"/>
      <c r="J49" s="16"/>
    </row>
    <row r="50" customFormat="false" ht="15" hidden="false" customHeight="false" outlineLevel="0" collapsed="false">
      <c r="B50" s="16"/>
      <c r="C50" s="16"/>
      <c r="D50" s="16"/>
      <c r="E50" s="16"/>
      <c r="F50" s="16"/>
      <c r="G50" s="16"/>
      <c r="H50" s="43"/>
      <c r="I50" s="16"/>
      <c r="J50" s="16"/>
    </row>
    <row r="51" customFormat="false" ht="15" hidden="false" customHeight="false" outlineLevel="0" collapsed="false">
      <c r="B51" s="16"/>
      <c r="C51" s="16"/>
      <c r="D51" s="16"/>
      <c r="E51" s="16"/>
      <c r="F51" s="16"/>
      <c r="G51" s="16"/>
      <c r="H51" s="43"/>
      <c r="I51" s="16"/>
      <c r="J51" s="16"/>
    </row>
    <row r="52" customFormat="false" ht="15" hidden="false" customHeight="false" outlineLevel="0" collapsed="false">
      <c r="B52" s="16"/>
      <c r="C52" s="16"/>
      <c r="D52" s="16"/>
      <c r="E52" s="16"/>
      <c r="F52" s="16"/>
      <c r="G52" s="16"/>
      <c r="H52" s="43"/>
      <c r="I52" s="16"/>
      <c r="J52" s="16"/>
    </row>
    <row r="53" customFormat="false" ht="15" hidden="false" customHeight="false" outlineLevel="0" collapsed="false">
      <c r="B53" s="16"/>
      <c r="C53" s="16"/>
      <c r="D53" s="16"/>
      <c r="E53" s="16"/>
      <c r="F53" s="16"/>
      <c r="G53" s="16"/>
      <c r="H53" s="43"/>
      <c r="I53" s="16"/>
      <c r="J53" s="16"/>
    </row>
    <row r="54" customFormat="false" ht="15" hidden="false" customHeight="false" outlineLevel="0" collapsed="false">
      <c r="B54" s="16"/>
      <c r="C54" s="16"/>
      <c r="D54" s="16"/>
      <c r="E54" s="16"/>
      <c r="F54" s="16"/>
      <c r="G54" s="16"/>
      <c r="H54" s="43"/>
      <c r="I54" s="16"/>
      <c r="J54" s="16"/>
    </row>
    <row r="55" customFormat="false" ht="15" hidden="false" customHeight="false" outlineLevel="0" collapsed="false">
      <c r="B55" s="16"/>
      <c r="C55" s="16"/>
      <c r="D55" s="16"/>
      <c r="E55" s="16"/>
      <c r="F55" s="16"/>
      <c r="G55" s="16"/>
      <c r="H55" s="43"/>
      <c r="I55" s="16"/>
      <c r="J55" s="16"/>
    </row>
    <row r="56" customFormat="false" ht="15" hidden="false" customHeight="false" outlineLevel="0" collapsed="false">
      <c r="B56" s="16"/>
      <c r="C56" s="16"/>
      <c r="D56" s="16"/>
      <c r="E56" s="16"/>
      <c r="F56" s="16"/>
      <c r="G56" s="16"/>
      <c r="H56" s="43"/>
      <c r="I56" s="16"/>
      <c r="J56" s="16"/>
    </row>
    <row r="57" customFormat="false" ht="15" hidden="false" customHeight="false" outlineLevel="0" collapsed="false">
      <c r="B57" s="16"/>
      <c r="C57" s="16"/>
      <c r="D57" s="16"/>
      <c r="E57" s="16"/>
      <c r="F57" s="16"/>
      <c r="G57" s="16"/>
      <c r="H57" s="43"/>
      <c r="I57" s="16"/>
      <c r="J57" s="16"/>
    </row>
    <row r="58" customFormat="false" ht="15" hidden="false" customHeight="false" outlineLevel="0" collapsed="false">
      <c r="B58" s="16"/>
      <c r="C58" s="16"/>
      <c r="D58" s="16"/>
      <c r="E58" s="16"/>
      <c r="F58" s="16"/>
      <c r="G58" s="16"/>
      <c r="H58" s="43"/>
      <c r="I58" s="16"/>
      <c r="J58" s="16"/>
    </row>
    <row r="59" customFormat="false" ht="15" hidden="false" customHeight="false" outlineLevel="0" collapsed="false">
      <c r="B59" s="16"/>
      <c r="C59" s="16"/>
      <c r="D59" s="16"/>
      <c r="E59" s="16"/>
      <c r="F59" s="16"/>
      <c r="G59" s="16"/>
      <c r="H59" s="43"/>
      <c r="I59" s="16"/>
      <c r="J59" s="16"/>
    </row>
    <row r="60" customFormat="false" ht="15" hidden="false" customHeight="false" outlineLevel="0" collapsed="false">
      <c r="B60" s="16"/>
      <c r="C60" s="16"/>
      <c r="D60" s="16"/>
      <c r="E60" s="16"/>
      <c r="F60" s="16"/>
      <c r="G60" s="16"/>
      <c r="H60" s="43"/>
      <c r="I60" s="16"/>
      <c r="J60" s="16"/>
    </row>
    <row r="61" customFormat="false" ht="15" hidden="false" customHeight="false" outlineLevel="0" collapsed="false">
      <c r="B61" s="16"/>
      <c r="C61" s="16"/>
      <c r="D61" s="16"/>
      <c r="E61" s="16"/>
      <c r="F61" s="16"/>
      <c r="G61" s="16"/>
      <c r="H61" s="43"/>
      <c r="I61" s="16"/>
      <c r="J61" s="16"/>
    </row>
    <row r="62" customFormat="false" ht="15" hidden="false" customHeight="false" outlineLevel="0" collapsed="false">
      <c r="B62" s="16"/>
      <c r="C62" s="16"/>
      <c r="D62" s="16"/>
      <c r="E62" s="16"/>
      <c r="F62" s="16"/>
      <c r="G62" s="16"/>
      <c r="H62" s="43"/>
      <c r="I62" s="16"/>
      <c r="J62" s="16"/>
    </row>
    <row r="63" customFormat="false" ht="15" hidden="false" customHeight="false" outlineLevel="0" collapsed="false">
      <c r="B63" s="16"/>
      <c r="C63" s="16"/>
      <c r="D63" s="16"/>
      <c r="E63" s="16"/>
      <c r="F63" s="16"/>
      <c r="G63" s="16"/>
      <c r="H63" s="43"/>
      <c r="I63" s="16"/>
      <c r="J63" s="16"/>
    </row>
    <row r="64" customFormat="false" ht="15" hidden="false" customHeight="false" outlineLevel="0" collapsed="false">
      <c r="B64" s="16"/>
      <c r="C64" s="16"/>
      <c r="D64" s="16"/>
      <c r="E64" s="16"/>
      <c r="F64" s="16"/>
      <c r="G64" s="16"/>
      <c r="H64" s="43"/>
      <c r="I64" s="16"/>
      <c r="J64" s="16"/>
    </row>
    <row r="65" customFormat="false" ht="15" hidden="false" customHeight="false" outlineLevel="0" collapsed="false">
      <c r="B65" s="16"/>
      <c r="C65" s="16"/>
      <c r="D65" s="16"/>
      <c r="E65" s="16"/>
      <c r="F65" s="16"/>
      <c r="G65" s="16"/>
      <c r="H65" s="43"/>
      <c r="I65" s="16"/>
      <c r="J65" s="16"/>
    </row>
    <row r="66" customFormat="false" ht="15" hidden="false" customHeight="false" outlineLevel="0" collapsed="false">
      <c r="B66" s="16"/>
      <c r="C66" s="16"/>
      <c r="D66" s="16"/>
      <c r="E66" s="16"/>
      <c r="F66" s="16"/>
      <c r="G66" s="16"/>
      <c r="H66" s="43"/>
      <c r="I66" s="16"/>
      <c r="J66" s="16"/>
    </row>
    <row r="67" customFormat="false" ht="15" hidden="false" customHeight="false" outlineLevel="0" collapsed="false">
      <c r="B67" s="16"/>
      <c r="C67" s="16"/>
      <c r="D67" s="16"/>
      <c r="E67" s="16"/>
      <c r="F67" s="16"/>
      <c r="G67" s="16"/>
      <c r="H67" s="43"/>
      <c r="I67" s="16"/>
      <c r="J67" s="16"/>
    </row>
    <row r="68" customFormat="false" ht="15" hidden="false" customHeight="false" outlineLevel="0" collapsed="false">
      <c r="B68" s="16"/>
      <c r="C68" s="16"/>
      <c r="D68" s="16"/>
      <c r="E68" s="16"/>
      <c r="F68" s="16"/>
      <c r="G68" s="16"/>
      <c r="H68" s="43"/>
      <c r="I68" s="16"/>
      <c r="J68" s="16"/>
    </row>
    <row r="69" customFormat="false" ht="15" hidden="false" customHeight="false" outlineLevel="0" collapsed="false">
      <c r="B69" s="16"/>
      <c r="C69" s="16"/>
      <c r="D69" s="16"/>
      <c r="E69" s="16"/>
      <c r="F69" s="16"/>
      <c r="G69" s="16"/>
      <c r="H69" s="43"/>
      <c r="I69" s="16"/>
      <c r="J69" s="16"/>
    </row>
    <row r="70" customFormat="false" ht="15" hidden="false" customHeight="false" outlineLevel="0" collapsed="false">
      <c r="B70" s="16"/>
      <c r="C70" s="16"/>
      <c r="D70" s="16"/>
      <c r="E70" s="16"/>
      <c r="F70" s="16"/>
      <c r="G70" s="16"/>
      <c r="H70" s="43"/>
      <c r="I70" s="16"/>
      <c r="J70" s="16"/>
    </row>
    <row r="71" customFormat="false" ht="15" hidden="false" customHeight="false" outlineLevel="0" collapsed="false">
      <c r="B71" s="16"/>
      <c r="C71" s="16"/>
      <c r="D71" s="16"/>
      <c r="E71" s="16"/>
      <c r="F71" s="16"/>
      <c r="G71" s="16"/>
      <c r="H71" s="43"/>
      <c r="I71" s="16"/>
      <c r="J71" s="16"/>
    </row>
    <row r="72" customFormat="false" ht="15" hidden="false" customHeight="false" outlineLevel="0" collapsed="false">
      <c r="B72" s="16"/>
      <c r="C72" s="16"/>
      <c r="D72" s="16"/>
      <c r="E72" s="16"/>
      <c r="F72" s="16"/>
      <c r="G72" s="16"/>
      <c r="H72" s="43"/>
      <c r="I72" s="16"/>
      <c r="J72" s="16"/>
    </row>
    <row r="73" customFormat="false" ht="15" hidden="false" customHeight="false" outlineLevel="0" collapsed="false">
      <c r="B73" s="16"/>
      <c r="C73" s="16"/>
      <c r="D73" s="16"/>
      <c r="E73" s="16"/>
      <c r="F73" s="16"/>
      <c r="G73" s="16"/>
      <c r="H73" s="43"/>
      <c r="I73" s="16"/>
      <c r="J73" s="16"/>
    </row>
    <row r="74" customFormat="false" ht="15" hidden="false" customHeight="false" outlineLevel="0" collapsed="false">
      <c r="B74" s="16"/>
      <c r="C74" s="16"/>
      <c r="D74" s="16"/>
      <c r="E74" s="16"/>
      <c r="F74" s="16"/>
      <c r="G74" s="16"/>
      <c r="H74" s="43"/>
      <c r="I74" s="16"/>
      <c r="J74" s="16"/>
    </row>
    <row r="75" customFormat="false" ht="15" hidden="false" customHeight="false" outlineLevel="0" collapsed="false">
      <c r="B75" s="16"/>
      <c r="C75" s="16"/>
      <c r="D75" s="16"/>
      <c r="E75" s="16"/>
      <c r="F75" s="16"/>
      <c r="G75" s="16"/>
      <c r="H75" s="43"/>
      <c r="I75" s="16"/>
      <c r="J75" s="16"/>
    </row>
    <row r="76" customFormat="false" ht="15" hidden="false" customHeight="false" outlineLevel="0" collapsed="false">
      <c r="B76" s="16"/>
      <c r="C76" s="16"/>
      <c r="D76" s="16"/>
      <c r="E76" s="16"/>
      <c r="F76" s="16"/>
      <c r="G76" s="16"/>
      <c r="H76" s="43"/>
      <c r="I76" s="16"/>
      <c r="J76" s="16"/>
    </row>
    <row r="77" customFormat="false" ht="15" hidden="false" customHeight="false" outlineLevel="0" collapsed="false">
      <c r="B77" s="16"/>
      <c r="C77" s="16"/>
      <c r="D77" s="16"/>
      <c r="E77" s="16"/>
      <c r="F77" s="16"/>
      <c r="G77" s="16"/>
      <c r="H77" s="43"/>
      <c r="I77" s="16"/>
      <c r="J77" s="16"/>
    </row>
    <row r="78" customFormat="false" ht="15" hidden="false" customHeight="false" outlineLevel="0" collapsed="false">
      <c r="B78" s="16"/>
      <c r="C78" s="16"/>
      <c r="D78" s="16"/>
      <c r="E78" s="16"/>
      <c r="F78" s="16"/>
      <c r="G78" s="16"/>
      <c r="H78" s="43"/>
      <c r="I78" s="16"/>
      <c r="J78" s="16"/>
    </row>
    <row r="79" customFormat="false" ht="15" hidden="false" customHeight="false" outlineLevel="0" collapsed="false">
      <c r="B79" s="16"/>
      <c r="C79" s="16"/>
      <c r="D79" s="16"/>
      <c r="E79" s="16"/>
      <c r="F79" s="16"/>
      <c r="G79" s="16"/>
      <c r="H79" s="43"/>
      <c r="I79" s="16"/>
      <c r="J79" s="16"/>
    </row>
    <row r="80" customFormat="false" ht="15" hidden="false" customHeight="false" outlineLevel="0" collapsed="false">
      <c r="B80" s="16"/>
      <c r="C80" s="16"/>
      <c r="D80" s="16"/>
      <c r="E80" s="16"/>
      <c r="F80" s="16"/>
      <c r="G80" s="16"/>
      <c r="H80" s="43"/>
      <c r="I80" s="16"/>
      <c r="J80" s="16"/>
    </row>
    <row r="81" customFormat="false" ht="15" hidden="false" customHeight="false" outlineLevel="0" collapsed="false">
      <c r="B81" s="16"/>
      <c r="C81" s="16"/>
      <c r="D81" s="16"/>
      <c r="E81" s="16"/>
      <c r="F81" s="16"/>
      <c r="G81" s="16"/>
      <c r="H81" s="43"/>
      <c r="I81" s="16"/>
      <c r="J81" s="16"/>
    </row>
    <row r="82" customFormat="false" ht="15" hidden="false" customHeight="false" outlineLevel="0" collapsed="false">
      <c r="B82" s="16"/>
      <c r="C82" s="16"/>
      <c r="D82" s="16"/>
      <c r="E82" s="16"/>
      <c r="F82" s="16"/>
      <c r="G82" s="16"/>
      <c r="H82" s="43"/>
      <c r="I82" s="16"/>
      <c r="J82" s="16"/>
    </row>
    <row r="83" customFormat="false" ht="15" hidden="false" customHeight="false" outlineLevel="0" collapsed="false">
      <c r="B83" s="16"/>
      <c r="C83" s="16"/>
      <c r="D83" s="16"/>
      <c r="E83" s="16"/>
      <c r="F83" s="16"/>
      <c r="G83" s="16"/>
      <c r="H83" s="43"/>
      <c r="I83" s="16"/>
      <c r="J83" s="16"/>
    </row>
    <row r="84" customFormat="false" ht="15" hidden="false" customHeight="false" outlineLevel="0" collapsed="false">
      <c r="B84" s="16"/>
      <c r="C84" s="16"/>
      <c r="D84" s="16"/>
      <c r="E84" s="16"/>
      <c r="F84" s="16"/>
      <c r="G84" s="16"/>
      <c r="H84" s="43"/>
      <c r="I84" s="16"/>
      <c r="J84" s="16"/>
    </row>
    <row r="85" customFormat="false" ht="15" hidden="false" customHeight="false" outlineLevel="0" collapsed="false">
      <c r="B85" s="16"/>
      <c r="C85" s="16"/>
      <c r="D85" s="16"/>
      <c r="E85" s="16"/>
      <c r="F85" s="16"/>
      <c r="G85" s="16"/>
      <c r="H85" s="43"/>
      <c r="I85" s="16"/>
      <c r="J85" s="16"/>
    </row>
    <row r="86" customFormat="false" ht="15" hidden="false" customHeight="false" outlineLevel="0" collapsed="false">
      <c r="B86" s="16"/>
      <c r="C86" s="16"/>
      <c r="D86" s="16"/>
      <c r="E86" s="16"/>
      <c r="F86" s="16"/>
      <c r="G86" s="16"/>
      <c r="H86" s="43"/>
      <c r="I86" s="16"/>
      <c r="J86" s="16"/>
    </row>
    <row r="87" customFormat="false" ht="15" hidden="false" customHeight="false" outlineLevel="0" collapsed="false">
      <c r="B87" s="16"/>
      <c r="C87" s="16"/>
      <c r="D87" s="16"/>
      <c r="E87" s="16"/>
      <c r="F87" s="16"/>
      <c r="G87" s="16"/>
      <c r="H87" s="43"/>
      <c r="I87" s="16"/>
      <c r="J87" s="16"/>
    </row>
    <row r="88" customFormat="false" ht="15" hidden="false" customHeight="false" outlineLevel="0" collapsed="false">
      <c r="B88" s="16"/>
      <c r="C88" s="16"/>
      <c r="D88" s="16"/>
      <c r="E88" s="16"/>
      <c r="F88" s="16"/>
      <c r="G88" s="16"/>
      <c r="H88" s="43"/>
      <c r="I88" s="16"/>
      <c r="J88" s="16"/>
    </row>
    <row r="89" customFormat="false" ht="15" hidden="false" customHeight="false" outlineLevel="0" collapsed="false">
      <c r="B89" s="16"/>
      <c r="C89" s="16"/>
      <c r="D89" s="16"/>
      <c r="E89" s="16"/>
      <c r="F89" s="16"/>
      <c r="G89" s="16"/>
      <c r="H89" s="43"/>
      <c r="I89" s="16"/>
      <c r="J89" s="16"/>
    </row>
    <row r="90" customFormat="false" ht="15" hidden="false" customHeight="false" outlineLevel="0" collapsed="false">
      <c r="B90" s="16"/>
      <c r="C90" s="16"/>
      <c r="D90" s="16"/>
      <c r="E90" s="16"/>
      <c r="F90" s="16"/>
      <c r="G90" s="16"/>
      <c r="H90" s="43"/>
      <c r="I90" s="16"/>
      <c r="J90" s="16"/>
    </row>
    <row r="91" customFormat="false" ht="15" hidden="false" customHeight="false" outlineLevel="0" collapsed="false">
      <c r="B91" s="16"/>
      <c r="C91" s="16"/>
      <c r="D91" s="16"/>
      <c r="E91" s="16"/>
      <c r="F91" s="16"/>
      <c r="G91" s="16"/>
      <c r="H91" s="43"/>
      <c r="I91" s="16"/>
      <c r="J91" s="16"/>
    </row>
    <row r="92" customFormat="false" ht="15" hidden="false" customHeight="false" outlineLevel="0" collapsed="false">
      <c r="B92" s="16"/>
      <c r="C92" s="16"/>
      <c r="D92" s="16"/>
      <c r="E92" s="16"/>
      <c r="F92" s="16"/>
      <c r="G92" s="16"/>
      <c r="H92" s="43"/>
      <c r="I92" s="16"/>
      <c r="J92" s="16"/>
    </row>
    <row r="93" customFormat="false" ht="15" hidden="false" customHeight="false" outlineLevel="0" collapsed="false">
      <c r="B93" s="16"/>
      <c r="C93" s="16"/>
      <c r="D93" s="16"/>
      <c r="E93" s="16"/>
      <c r="F93" s="16"/>
      <c r="G93" s="16"/>
      <c r="H93" s="43"/>
      <c r="I93" s="16"/>
      <c r="J93" s="16"/>
    </row>
    <row r="94" customFormat="false" ht="15" hidden="false" customHeight="false" outlineLevel="0" collapsed="false">
      <c r="B94" s="16"/>
      <c r="C94" s="16"/>
      <c r="D94" s="16"/>
      <c r="E94" s="16"/>
      <c r="F94" s="16"/>
      <c r="G94" s="16"/>
      <c r="H94" s="43"/>
      <c r="I94" s="16"/>
      <c r="J94" s="16"/>
    </row>
    <row r="95" customFormat="false" ht="15" hidden="false" customHeight="false" outlineLevel="0" collapsed="false">
      <c r="B95" s="16"/>
      <c r="C95" s="16"/>
      <c r="D95" s="16"/>
      <c r="E95" s="16"/>
      <c r="F95" s="16"/>
      <c r="G95" s="16"/>
      <c r="H95" s="43"/>
      <c r="I95" s="16"/>
      <c r="J95" s="16"/>
    </row>
    <row r="96" customFormat="false" ht="15" hidden="false" customHeight="false" outlineLevel="0" collapsed="false">
      <c r="B96" s="16"/>
      <c r="C96" s="16"/>
      <c r="D96" s="16"/>
      <c r="E96" s="16"/>
      <c r="F96" s="16"/>
      <c r="G96" s="16"/>
      <c r="H96" s="43"/>
      <c r="I96" s="16"/>
      <c r="J96" s="16"/>
    </row>
    <row r="97" customFormat="false" ht="15" hidden="false" customHeight="false" outlineLevel="0" collapsed="false">
      <c r="B97" s="16"/>
      <c r="C97" s="16"/>
      <c r="D97" s="16"/>
      <c r="E97" s="16"/>
      <c r="F97" s="16"/>
      <c r="G97" s="16"/>
      <c r="H97" s="43"/>
      <c r="I97" s="16"/>
      <c r="J97" s="16"/>
    </row>
    <row r="98" customFormat="false" ht="15" hidden="false" customHeight="false" outlineLevel="0" collapsed="false">
      <c r="B98" s="16"/>
      <c r="C98" s="16"/>
      <c r="D98" s="16"/>
      <c r="E98" s="16"/>
      <c r="F98" s="16"/>
      <c r="G98" s="16"/>
      <c r="H98" s="43"/>
      <c r="I98" s="16"/>
      <c r="J98" s="16"/>
    </row>
    <row r="99" customFormat="false" ht="15" hidden="false" customHeight="false" outlineLevel="0" collapsed="false">
      <c r="B99" s="16"/>
      <c r="C99" s="16"/>
      <c r="D99" s="16"/>
      <c r="E99" s="16"/>
      <c r="F99" s="16"/>
      <c r="G99" s="16"/>
      <c r="H99" s="43"/>
      <c r="I99" s="16"/>
      <c r="J99" s="16"/>
    </row>
    <row r="100" customFormat="false" ht="15" hidden="false" customHeight="false" outlineLevel="0" collapsed="false">
      <c r="B100" s="16"/>
      <c r="C100" s="16"/>
      <c r="D100" s="16"/>
      <c r="E100" s="16"/>
      <c r="F100" s="16"/>
      <c r="G100" s="16"/>
      <c r="H100" s="43"/>
      <c r="I100" s="16"/>
      <c r="J100" s="16"/>
    </row>
    <row r="101" customFormat="false" ht="15" hidden="false" customHeight="false" outlineLevel="0" collapsed="false">
      <c r="B101" s="16"/>
      <c r="C101" s="16"/>
      <c r="D101" s="16"/>
      <c r="E101" s="16"/>
      <c r="F101" s="16"/>
      <c r="G101" s="16"/>
      <c r="H101" s="43"/>
      <c r="I101" s="16"/>
      <c r="J101" s="16"/>
    </row>
    <row r="102" customFormat="false" ht="15" hidden="false" customHeight="false" outlineLevel="0" collapsed="false">
      <c r="B102" s="16"/>
      <c r="C102" s="16"/>
      <c r="D102" s="16"/>
      <c r="E102" s="16"/>
      <c r="F102" s="16"/>
      <c r="G102" s="16"/>
      <c r="H102" s="43"/>
      <c r="I102" s="16"/>
      <c r="J102" s="16"/>
    </row>
    <row r="103" customFormat="false" ht="15" hidden="false" customHeight="false" outlineLevel="0" collapsed="false">
      <c r="B103" s="16"/>
      <c r="C103" s="16"/>
      <c r="D103" s="16"/>
      <c r="E103" s="16"/>
      <c r="F103" s="16"/>
      <c r="G103" s="16"/>
      <c r="H103" s="43"/>
      <c r="I103" s="16"/>
      <c r="J103" s="16"/>
    </row>
    <row r="104" customFormat="false" ht="15" hidden="false" customHeight="false" outlineLevel="0" collapsed="false">
      <c r="B104" s="16"/>
      <c r="C104" s="16"/>
      <c r="D104" s="16"/>
      <c r="E104" s="16"/>
      <c r="F104" s="16"/>
      <c r="G104" s="16"/>
      <c r="H104" s="43"/>
      <c r="I104" s="16"/>
      <c r="J104" s="16"/>
    </row>
    <row r="105" customFormat="false" ht="15" hidden="false" customHeight="false" outlineLevel="0" collapsed="false">
      <c r="B105" s="16"/>
      <c r="C105" s="16"/>
      <c r="D105" s="16"/>
      <c r="E105" s="16"/>
      <c r="F105" s="16"/>
      <c r="G105" s="16"/>
      <c r="H105" s="43"/>
      <c r="I105" s="16"/>
      <c r="J105" s="16"/>
    </row>
    <row r="106" customFormat="false" ht="15" hidden="false" customHeight="false" outlineLevel="0" collapsed="false">
      <c r="B106" s="16"/>
      <c r="C106" s="16"/>
      <c r="D106" s="16"/>
      <c r="E106" s="16"/>
      <c r="F106" s="16"/>
      <c r="G106" s="16"/>
      <c r="H106" s="43"/>
      <c r="I106" s="16"/>
      <c r="J106" s="16"/>
    </row>
    <row r="107" customFormat="false" ht="15" hidden="false" customHeight="false" outlineLevel="0" collapsed="false">
      <c r="B107" s="16"/>
      <c r="C107" s="16"/>
      <c r="D107" s="16"/>
      <c r="E107" s="16"/>
      <c r="F107" s="16"/>
      <c r="G107" s="16"/>
      <c r="H107" s="43"/>
      <c r="I107" s="16"/>
      <c r="J107" s="16"/>
    </row>
    <row r="108" customFormat="false" ht="15" hidden="false" customHeight="false" outlineLevel="0" collapsed="false">
      <c r="B108" s="16"/>
      <c r="C108" s="16"/>
      <c r="D108" s="16"/>
      <c r="E108" s="16"/>
      <c r="F108" s="16"/>
      <c r="G108" s="16"/>
      <c r="H108" s="43"/>
      <c r="I108" s="16"/>
      <c r="J108" s="16"/>
    </row>
    <row r="109" customFormat="false" ht="15" hidden="false" customHeight="false" outlineLevel="0" collapsed="false">
      <c r="B109" s="16"/>
      <c r="C109" s="16"/>
      <c r="D109" s="16"/>
      <c r="E109" s="16"/>
      <c r="F109" s="16"/>
      <c r="G109" s="16"/>
      <c r="H109" s="43"/>
      <c r="I109" s="16"/>
      <c r="J109" s="16"/>
    </row>
    <row r="110" customFormat="false" ht="15" hidden="false" customHeight="false" outlineLevel="0" collapsed="false">
      <c r="B110" s="16"/>
      <c r="C110" s="16"/>
      <c r="D110" s="16"/>
      <c r="E110" s="16"/>
      <c r="F110" s="16"/>
      <c r="G110" s="16"/>
      <c r="H110" s="43"/>
      <c r="I110" s="16"/>
      <c r="J110" s="16"/>
    </row>
    <row r="111" customFormat="false" ht="15" hidden="false" customHeight="false" outlineLevel="0" collapsed="false">
      <c r="B111" s="16"/>
      <c r="C111" s="16"/>
      <c r="D111" s="16"/>
      <c r="E111" s="16"/>
      <c r="F111" s="16"/>
      <c r="G111" s="16"/>
      <c r="H111" s="43"/>
      <c r="I111" s="16"/>
      <c r="J111" s="16"/>
    </row>
    <row r="112" customFormat="false" ht="15" hidden="false" customHeight="false" outlineLevel="0" collapsed="false">
      <c r="B112" s="16"/>
      <c r="C112" s="16"/>
      <c r="D112" s="16"/>
      <c r="E112" s="16"/>
      <c r="F112" s="16"/>
      <c r="G112" s="16"/>
      <c r="H112" s="43"/>
      <c r="I112" s="16"/>
      <c r="J112" s="16"/>
    </row>
    <row r="113" customFormat="false" ht="15" hidden="false" customHeight="false" outlineLevel="0" collapsed="false">
      <c r="B113" s="16"/>
      <c r="C113" s="16"/>
      <c r="D113" s="16"/>
      <c r="E113" s="16"/>
      <c r="F113" s="16"/>
      <c r="G113" s="16"/>
      <c r="H113" s="43"/>
      <c r="I113" s="16"/>
      <c r="J113" s="16"/>
    </row>
    <row r="114" customFormat="false" ht="15" hidden="false" customHeight="false" outlineLevel="0" collapsed="false">
      <c r="B114" s="16"/>
      <c r="C114" s="16"/>
      <c r="D114" s="16"/>
      <c r="E114" s="16"/>
      <c r="F114" s="16"/>
      <c r="G114" s="16"/>
      <c r="H114" s="43"/>
      <c r="I114" s="16"/>
      <c r="J114" s="16"/>
    </row>
    <row r="115" customFormat="false" ht="15" hidden="false" customHeight="false" outlineLevel="0" collapsed="false">
      <c r="B115" s="16"/>
      <c r="C115" s="16"/>
      <c r="D115" s="16"/>
      <c r="E115" s="16"/>
      <c r="F115" s="16"/>
      <c r="G115" s="16"/>
      <c r="H115" s="43"/>
      <c r="I115" s="16"/>
      <c r="J115" s="16"/>
    </row>
    <row r="116" customFormat="false" ht="15" hidden="false" customHeight="false" outlineLevel="0" collapsed="false">
      <c r="B116" s="16"/>
      <c r="C116" s="16"/>
      <c r="D116" s="16"/>
      <c r="E116" s="16"/>
      <c r="F116" s="16"/>
      <c r="G116" s="16"/>
      <c r="H116" s="43"/>
      <c r="I116" s="16"/>
      <c r="J116" s="16"/>
    </row>
    <row r="117" customFormat="false" ht="15" hidden="false" customHeight="false" outlineLevel="0" collapsed="false">
      <c r="B117" s="16"/>
      <c r="C117" s="16"/>
      <c r="D117" s="16"/>
      <c r="E117" s="16"/>
      <c r="F117" s="16"/>
      <c r="G117" s="16"/>
      <c r="H117" s="43"/>
      <c r="I117" s="16"/>
      <c r="J117" s="16"/>
    </row>
    <row r="118" customFormat="false" ht="15" hidden="false" customHeight="false" outlineLevel="0" collapsed="false">
      <c r="B118" s="16"/>
      <c r="C118" s="16"/>
      <c r="D118" s="16"/>
      <c r="E118" s="16"/>
      <c r="F118" s="16"/>
      <c r="G118" s="16"/>
      <c r="H118" s="43"/>
      <c r="I118" s="16"/>
      <c r="J118" s="16"/>
    </row>
    <row r="119" customFormat="false" ht="15" hidden="false" customHeight="false" outlineLevel="0" collapsed="false">
      <c r="B119" s="16"/>
      <c r="C119" s="16"/>
      <c r="D119" s="16"/>
      <c r="E119" s="16"/>
      <c r="F119" s="16"/>
      <c r="G119" s="16"/>
      <c r="H119" s="43"/>
      <c r="I119" s="16"/>
      <c r="J119" s="16"/>
    </row>
    <row r="120" customFormat="false" ht="15" hidden="false" customHeight="false" outlineLevel="0" collapsed="false">
      <c r="B120" s="16"/>
      <c r="C120" s="16"/>
      <c r="D120" s="16"/>
      <c r="E120" s="16"/>
      <c r="F120" s="16"/>
      <c r="G120" s="16"/>
      <c r="H120" s="43"/>
      <c r="I120" s="16"/>
      <c r="J120" s="16"/>
    </row>
    <row r="121" customFormat="false" ht="15" hidden="false" customHeight="false" outlineLevel="0" collapsed="false">
      <c r="B121" s="16"/>
      <c r="C121" s="16"/>
      <c r="D121" s="16"/>
      <c r="E121" s="16"/>
      <c r="F121" s="16"/>
      <c r="G121" s="16"/>
      <c r="H121" s="43"/>
      <c r="I121" s="16"/>
      <c r="J121" s="16"/>
    </row>
    <row r="122" customFormat="false" ht="15" hidden="false" customHeight="false" outlineLevel="0" collapsed="false">
      <c r="B122" s="16"/>
      <c r="C122" s="16"/>
      <c r="D122" s="16"/>
      <c r="E122" s="16"/>
      <c r="F122" s="16"/>
      <c r="G122" s="16"/>
      <c r="H122" s="43"/>
      <c r="I122" s="16"/>
      <c r="J122" s="16"/>
    </row>
    <row r="123" customFormat="false" ht="15" hidden="false" customHeight="false" outlineLevel="0" collapsed="false">
      <c r="B123" s="16"/>
      <c r="C123" s="16"/>
      <c r="D123" s="16"/>
      <c r="E123" s="16"/>
      <c r="F123" s="16"/>
      <c r="G123" s="16"/>
      <c r="H123" s="43"/>
      <c r="I123" s="16"/>
      <c r="J123" s="16"/>
    </row>
    <row r="124" customFormat="false" ht="15" hidden="false" customHeight="false" outlineLevel="0" collapsed="false">
      <c r="B124" s="16"/>
      <c r="C124" s="16"/>
      <c r="D124" s="16"/>
      <c r="E124" s="16"/>
      <c r="F124" s="16"/>
      <c r="G124" s="16"/>
      <c r="H124" s="43"/>
      <c r="I124" s="16"/>
      <c r="J124" s="16"/>
    </row>
    <row r="125" customFormat="false" ht="15" hidden="false" customHeight="false" outlineLevel="0" collapsed="false">
      <c r="B125" s="16"/>
      <c r="C125" s="16"/>
      <c r="D125" s="16"/>
      <c r="E125" s="16"/>
      <c r="F125" s="16"/>
      <c r="G125" s="16"/>
      <c r="H125" s="43"/>
      <c r="I125" s="16"/>
      <c r="J125" s="16"/>
    </row>
    <row r="126" customFormat="false" ht="15" hidden="false" customHeight="false" outlineLevel="0" collapsed="false">
      <c r="B126" s="16"/>
      <c r="C126" s="16"/>
      <c r="D126" s="16"/>
      <c r="E126" s="16"/>
      <c r="F126" s="16"/>
      <c r="G126" s="16"/>
      <c r="H126" s="43"/>
      <c r="I126" s="16"/>
      <c r="J126" s="16"/>
    </row>
    <row r="127" customFormat="false" ht="15" hidden="false" customHeight="false" outlineLevel="0" collapsed="false">
      <c r="B127" s="16"/>
      <c r="C127" s="16"/>
      <c r="D127" s="16"/>
      <c r="E127" s="16"/>
      <c r="F127" s="16"/>
      <c r="G127" s="16"/>
      <c r="H127" s="43"/>
      <c r="I127" s="16"/>
      <c r="J127" s="16"/>
    </row>
    <row r="128" customFormat="false" ht="15" hidden="false" customHeight="false" outlineLevel="0" collapsed="false">
      <c r="B128" s="16"/>
      <c r="C128" s="16"/>
      <c r="D128" s="16"/>
      <c r="E128" s="16"/>
      <c r="F128" s="16"/>
      <c r="G128" s="16"/>
      <c r="H128" s="43"/>
      <c r="I128" s="16"/>
      <c r="J128" s="16"/>
    </row>
    <row r="129" customFormat="false" ht="15" hidden="false" customHeight="false" outlineLevel="0" collapsed="false">
      <c r="B129" s="16"/>
      <c r="C129" s="16"/>
      <c r="D129" s="16"/>
      <c r="E129" s="16"/>
      <c r="F129" s="16"/>
      <c r="G129" s="16"/>
      <c r="H129" s="43"/>
      <c r="I129" s="16"/>
      <c r="J129" s="16"/>
    </row>
    <row r="130" customFormat="false" ht="15" hidden="false" customHeight="false" outlineLevel="0" collapsed="false">
      <c r="B130" s="16"/>
      <c r="C130" s="16"/>
      <c r="D130" s="16"/>
      <c r="E130" s="16"/>
      <c r="F130" s="16"/>
      <c r="G130" s="16"/>
      <c r="H130" s="43"/>
      <c r="I130" s="16"/>
      <c r="J130" s="16"/>
    </row>
    <row r="131" customFormat="false" ht="15" hidden="false" customHeight="false" outlineLevel="0" collapsed="false">
      <c r="B131" s="16"/>
      <c r="C131" s="16"/>
      <c r="D131" s="16"/>
      <c r="E131" s="16"/>
      <c r="F131" s="16"/>
      <c r="G131" s="16"/>
      <c r="H131" s="43"/>
      <c r="I131" s="16"/>
      <c r="J131" s="16"/>
    </row>
    <row r="132" customFormat="false" ht="15" hidden="false" customHeight="false" outlineLevel="0" collapsed="false">
      <c r="B132" s="16"/>
      <c r="C132" s="16"/>
      <c r="D132" s="16"/>
      <c r="E132" s="16"/>
      <c r="F132" s="16"/>
      <c r="G132" s="16"/>
      <c r="H132" s="43"/>
      <c r="I132" s="16"/>
      <c r="J132" s="16"/>
    </row>
    <row r="133" customFormat="false" ht="15" hidden="false" customHeight="false" outlineLevel="0" collapsed="false">
      <c r="B133" s="16"/>
      <c r="C133" s="16"/>
      <c r="D133" s="16"/>
      <c r="E133" s="16"/>
      <c r="F133" s="16"/>
      <c r="G133" s="16"/>
      <c r="H133" s="43"/>
      <c r="I133" s="16"/>
      <c r="J133" s="16"/>
    </row>
    <row r="134" customFormat="false" ht="15" hidden="false" customHeight="false" outlineLevel="0" collapsed="false">
      <c r="B134" s="16"/>
      <c r="C134" s="16"/>
      <c r="D134" s="16"/>
      <c r="E134" s="16"/>
      <c r="F134" s="16"/>
      <c r="G134" s="16"/>
      <c r="H134" s="43"/>
      <c r="I134" s="16"/>
      <c r="J134" s="16"/>
    </row>
    <row r="135" customFormat="false" ht="15" hidden="false" customHeight="false" outlineLevel="0" collapsed="false">
      <c r="B135" s="16"/>
      <c r="C135" s="16"/>
      <c r="D135" s="16"/>
      <c r="E135" s="16"/>
      <c r="F135" s="16"/>
      <c r="G135" s="16"/>
      <c r="H135" s="43"/>
      <c r="I135" s="16"/>
      <c r="J135" s="16"/>
    </row>
    <row r="136" customFormat="false" ht="15" hidden="false" customHeight="false" outlineLevel="0" collapsed="false">
      <c r="B136" s="16"/>
      <c r="C136" s="16"/>
      <c r="D136" s="16"/>
      <c r="E136" s="16"/>
      <c r="F136" s="16"/>
      <c r="G136" s="16"/>
      <c r="H136" s="43"/>
      <c r="I136" s="16"/>
      <c r="J136" s="16"/>
    </row>
    <row r="137" customFormat="false" ht="15" hidden="false" customHeight="false" outlineLevel="0" collapsed="false">
      <c r="B137" s="16"/>
      <c r="C137" s="16"/>
      <c r="D137" s="16"/>
      <c r="E137" s="16"/>
      <c r="F137" s="16"/>
      <c r="G137" s="16"/>
      <c r="H137" s="43"/>
      <c r="I137" s="16"/>
      <c r="J137" s="16"/>
    </row>
    <row r="138" customFormat="false" ht="15" hidden="false" customHeight="false" outlineLevel="0" collapsed="false">
      <c r="B138" s="16"/>
      <c r="C138" s="16"/>
      <c r="D138" s="16"/>
      <c r="E138" s="16"/>
      <c r="F138" s="16"/>
      <c r="G138" s="16"/>
      <c r="H138" s="43"/>
      <c r="I138" s="16"/>
      <c r="J138" s="16"/>
    </row>
    <row r="139" customFormat="false" ht="15" hidden="false" customHeight="false" outlineLevel="0" collapsed="false">
      <c r="B139" s="16"/>
      <c r="C139" s="16"/>
      <c r="D139" s="16"/>
      <c r="E139" s="16"/>
      <c r="F139" s="16"/>
      <c r="G139" s="16"/>
      <c r="H139" s="43"/>
      <c r="I139" s="16"/>
      <c r="J139" s="16"/>
    </row>
    <row r="140" customFormat="false" ht="15" hidden="false" customHeight="false" outlineLevel="0" collapsed="false">
      <c r="B140" s="16"/>
      <c r="C140" s="16"/>
      <c r="D140" s="16"/>
      <c r="E140" s="16"/>
      <c r="F140" s="16"/>
      <c r="G140" s="16"/>
      <c r="H140" s="43"/>
      <c r="I140" s="16"/>
      <c r="J140" s="16"/>
    </row>
    <row r="141" customFormat="false" ht="15" hidden="false" customHeight="false" outlineLevel="0" collapsed="false">
      <c r="B141" s="16"/>
      <c r="C141" s="16"/>
      <c r="D141" s="16"/>
      <c r="E141" s="16"/>
      <c r="F141" s="16"/>
      <c r="G141" s="16"/>
      <c r="H141" s="43"/>
      <c r="I141" s="16"/>
      <c r="J141" s="16"/>
    </row>
    <row r="142" customFormat="false" ht="15" hidden="false" customHeight="false" outlineLevel="0" collapsed="false">
      <c r="B142" s="16"/>
      <c r="C142" s="16"/>
      <c r="D142" s="16"/>
      <c r="E142" s="16"/>
      <c r="F142" s="16"/>
      <c r="G142" s="16"/>
      <c r="H142" s="43"/>
      <c r="I142" s="16"/>
      <c r="J142" s="16"/>
    </row>
    <row r="143" customFormat="false" ht="15" hidden="false" customHeight="false" outlineLevel="0" collapsed="false">
      <c r="B143" s="16"/>
      <c r="C143" s="16"/>
      <c r="D143" s="16"/>
      <c r="E143" s="16"/>
      <c r="F143" s="16"/>
      <c r="G143" s="16"/>
      <c r="H143" s="43"/>
      <c r="I143" s="16"/>
      <c r="J143" s="16"/>
    </row>
    <row r="144" customFormat="false" ht="15" hidden="false" customHeight="false" outlineLevel="0" collapsed="false">
      <c r="B144" s="16"/>
      <c r="C144" s="16"/>
      <c r="D144" s="16"/>
      <c r="E144" s="16"/>
      <c r="F144" s="16"/>
      <c r="G144" s="16"/>
      <c r="H144" s="43"/>
      <c r="I144" s="16"/>
      <c r="J144" s="16"/>
    </row>
    <row r="145" customFormat="false" ht="15" hidden="false" customHeight="false" outlineLevel="0" collapsed="false">
      <c r="B145" s="16"/>
      <c r="C145" s="16"/>
      <c r="D145" s="16"/>
      <c r="E145" s="16"/>
      <c r="F145" s="16"/>
      <c r="G145" s="16"/>
      <c r="H145" s="43"/>
      <c r="I145" s="16"/>
      <c r="J145" s="16"/>
    </row>
    <row r="146" customFormat="false" ht="15" hidden="false" customHeight="false" outlineLevel="0" collapsed="false">
      <c r="B146" s="16"/>
      <c r="C146" s="16"/>
      <c r="D146" s="16"/>
      <c r="E146" s="16"/>
      <c r="F146" s="16"/>
      <c r="G146" s="16"/>
      <c r="H146" s="43"/>
      <c r="I146" s="16"/>
      <c r="J146" s="16"/>
    </row>
    <row r="147" customFormat="false" ht="15" hidden="false" customHeight="false" outlineLevel="0" collapsed="false">
      <c r="B147" s="16"/>
      <c r="C147" s="16"/>
      <c r="D147" s="16"/>
      <c r="E147" s="16"/>
      <c r="F147" s="16"/>
      <c r="G147" s="16"/>
      <c r="H147" s="43"/>
      <c r="I147" s="16"/>
      <c r="J147" s="16"/>
    </row>
    <row r="148" customFormat="false" ht="15" hidden="false" customHeight="false" outlineLevel="0" collapsed="false">
      <c r="B148" s="16"/>
      <c r="C148" s="16"/>
      <c r="D148" s="16"/>
      <c r="E148" s="16"/>
      <c r="F148" s="16"/>
      <c r="G148" s="16"/>
      <c r="H148" s="43"/>
      <c r="I148" s="16"/>
      <c r="J148" s="16"/>
    </row>
    <row r="149" customFormat="false" ht="15" hidden="false" customHeight="false" outlineLevel="0" collapsed="false">
      <c r="B149" s="16"/>
      <c r="C149" s="16"/>
      <c r="D149" s="16"/>
      <c r="E149" s="16"/>
      <c r="F149" s="16"/>
      <c r="G149" s="16"/>
      <c r="H149" s="43"/>
      <c r="I149" s="16"/>
      <c r="J149" s="16"/>
    </row>
    <row r="150" customFormat="false" ht="15" hidden="false" customHeight="false" outlineLevel="0" collapsed="false">
      <c r="B150" s="16"/>
      <c r="C150" s="16"/>
      <c r="D150" s="16"/>
      <c r="E150" s="16"/>
      <c r="F150" s="16"/>
      <c r="G150" s="16"/>
      <c r="H150" s="43"/>
      <c r="I150" s="16"/>
      <c r="J150" s="16"/>
    </row>
    <row r="151" customFormat="false" ht="15" hidden="false" customHeight="false" outlineLevel="0" collapsed="false">
      <c r="B151" s="16"/>
      <c r="C151" s="16"/>
      <c r="D151" s="16"/>
      <c r="E151" s="16"/>
      <c r="F151" s="16"/>
      <c r="G151" s="16"/>
      <c r="H151" s="43"/>
      <c r="I151" s="16"/>
      <c r="J151" s="16"/>
    </row>
    <row r="152" customFormat="false" ht="15" hidden="false" customHeight="false" outlineLevel="0" collapsed="false">
      <c r="B152" s="16"/>
      <c r="C152" s="16"/>
      <c r="D152" s="16"/>
      <c r="E152" s="16"/>
      <c r="F152" s="16"/>
      <c r="G152" s="16"/>
      <c r="H152" s="43"/>
      <c r="I152" s="16"/>
      <c r="J152" s="16"/>
    </row>
    <row r="153" customFormat="false" ht="15" hidden="false" customHeight="false" outlineLevel="0" collapsed="false">
      <c r="B153" s="16"/>
      <c r="C153" s="16"/>
      <c r="D153" s="16"/>
      <c r="E153" s="16"/>
      <c r="F153" s="16"/>
      <c r="G153" s="16"/>
      <c r="H153" s="43"/>
      <c r="I153" s="16"/>
      <c r="J153" s="16"/>
    </row>
    <row r="154" customFormat="false" ht="15" hidden="false" customHeight="false" outlineLevel="0" collapsed="false">
      <c r="B154" s="16"/>
      <c r="C154" s="16"/>
      <c r="D154" s="16"/>
      <c r="E154" s="16"/>
      <c r="F154" s="16"/>
      <c r="G154" s="16"/>
      <c r="H154" s="43"/>
      <c r="I154" s="16"/>
      <c r="J154" s="16"/>
    </row>
    <row r="155" customFormat="false" ht="15" hidden="false" customHeight="false" outlineLevel="0" collapsed="false">
      <c r="B155" s="16"/>
      <c r="C155" s="16"/>
      <c r="D155" s="16"/>
      <c r="E155" s="16"/>
      <c r="F155" s="16"/>
      <c r="G155" s="16"/>
      <c r="H155" s="43"/>
      <c r="I155" s="16"/>
      <c r="J155" s="16"/>
    </row>
    <row r="156" customFormat="false" ht="15" hidden="false" customHeight="false" outlineLevel="0" collapsed="false">
      <c r="B156" s="16"/>
      <c r="C156" s="16"/>
      <c r="D156" s="16"/>
      <c r="E156" s="16"/>
      <c r="F156" s="16"/>
      <c r="G156" s="16"/>
      <c r="H156" s="43"/>
      <c r="I156" s="16"/>
      <c r="J156" s="16"/>
    </row>
    <row r="157" customFormat="false" ht="15" hidden="false" customHeight="false" outlineLevel="0" collapsed="false">
      <c r="B157" s="16"/>
      <c r="C157" s="16"/>
      <c r="D157" s="16"/>
      <c r="E157" s="16"/>
      <c r="F157" s="16"/>
      <c r="G157" s="16"/>
      <c r="H157" s="43"/>
      <c r="I157" s="16"/>
      <c r="J157" s="16"/>
    </row>
    <row r="158" customFormat="false" ht="15" hidden="false" customHeight="false" outlineLevel="0" collapsed="false">
      <c r="B158" s="16"/>
      <c r="C158" s="16"/>
      <c r="D158" s="16"/>
      <c r="E158" s="16"/>
      <c r="F158" s="16"/>
      <c r="G158" s="16"/>
      <c r="H158" s="43"/>
      <c r="I158" s="16"/>
      <c r="J158" s="16"/>
    </row>
    <row r="159" customFormat="false" ht="15" hidden="false" customHeight="false" outlineLevel="0" collapsed="false">
      <c r="B159" s="16"/>
      <c r="C159" s="16"/>
      <c r="D159" s="16"/>
      <c r="E159" s="16"/>
      <c r="F159" s="16"/>
      <c r="G159" s="16"/>
      <c r="H159" s="43"/>
      <c r="I159" s="16"/>
      <c r="J159" s="16"/>
    </row>
    <row r="160" customFormat="false" ht="15" hidden="false" customHeight="false" outlineLevel="0" collapsed="false">
      <c r="B160" s="16"/>
      <c r="C160" s="16"/>
      <c r="D160" s="16"/>
      <c r="E160" s="16"/>
      <c r="F160" s="16"/>
      <c r="G160" s="16"/>
      <c r="H160" s="43"/>
      <c r="I160" s="16"/>
      <c r="J160" s="16"/>
    </row>
    <row r="161" customFormat="false" ht="15" hidden="false" customHeight="false" outlineLevel="0" collapsed="false">
      <c r="B161" s="16"/>
      <c r="C161" s="16"/>
      <c r="D161" s="16"/>
      <c r="E161" s="16"/>
      <c r="F161" s="16"/>
      <c r="G161" s="16"/>
      <c r="H161" s="43"/>
      <c r="I161" s="16"/>
      <c r="J161" s="16"/>
    </row>
    <row r="162" customFormat="false" ht="15" hidden="false" customHeight="false" outlineLevel="0" collapsed="false">
      <c r="B162" s="16"/>
      <c r="C162" s="16"/>
      <c r="D162" s="16"/>
      <c r="E162" s="16"/>
      <c r="F162" s="16"/>
      <c r="G162" s="16"/>
      <c r="H162" s="43"/>
      <c r="I162" s="16"/>
      <c r="J162" s="16"/>
    </row>
    <row r="163" customFormat="false" ht="15" hidden="false" customHeight="false" outlineLevel="0" collapsed="false">
      <c r="B163" s="16"/>
      <c r="C163" s="16"/>
      <c r="D163" s="16"/>
      <c r="E163" s="16"/>
      <c r="F163" s="16"/>
      <c r="G163" s="16"/>
      <c r="H163" s="43"/>
      <c r="I163" s="16"/>
      <c r="J163" s="16"/>
    </row>
    <row r="164" customFormat="false" ht="15" hidden="false" customHeight="false" outlineLevel="0" collapsed="false">
      <c r="B164" s="16"/>
      <c r="C164" s="16"/>
      <c r="D164" s="16"/>
      <c r="E164" s="16"/>
      <c r="F164" s="16"/>
      <c r="G164" s="16"/>
      <c r="H164" s="43"/>
      <c r="I164" s="16"/>
      <c r="J164" s="16"/>
    </row>
    <row r="165" customFormat="false" ht="15" hidden="false" customHeight="false" outlineLevel="0" collapsed="false">
      <c r="B165" s="16"/>
      <c r="C165" s="16"/>
      <c r="D165" s="16"/>
      <c r="E165" s="16"/>
      <c r="F165" s="16"/>
      <c r="G165" s="16"/>
      <c r="H165" s="43"/>
      <c r="I165" s="16"/>
      <c r="J165" s="16"/>
    </row>
    <row r="166" customFormat="false" ht="15" hidden="false" customHeight="false" outlineLevel="0" collapsed="false">
      <c r="B166" s="16"/>
      <c r="C166" s="16"/>
      <c r="D166" s="16"/>
      <c r="E166" s="16"/>
      <c r="F166" s="16"/>
      <c r="G166" s="16"/>
      <c r="H166" s="43"/>
      <c r="I166" s="16"/>
      <c r="J166" s="16"/>
    </row>
    <row r="167" customFormat="false" ht="15" hidden="false" customHeight="false" outlineLevel="0" collapsed="false">
      <c r="B167" s="16"/>
      <c r="C167" s="16"/>
      <c r="D167" s="16"/>
      <c r="E167" s="16"/>
      <c r="F167" s="16"/>
      <c r="G167" s="16"/>
      <c r="H167" s="43"/>
      <c r="I167" s="16"/>
      <c r="J167" s="16"/>
    </row>
    <row r="168" customFormat="false" ht="15" hidden="false" customHeight="false" outlineLevel="0" collapsed="false">
      <c r="B168" s="16"/>
      <c r="C168" s="16"/>
      <c r="D168" s="16"/>
      <c r="E168" s="16"/>
      <c r="F168" s="16"/>
      <c r="G168" s="16"/>
      <c r="H168" s="43"/>
      <c r="I168" s="16"/>
      <c r="J168" s="16"/>
    </row>
    <row r="169" customFormat="false" ht="15" hidden="false" customHeight="false" outlineLevel="0" collapsed="false">
      <c r="B169" s="16"/>
      <c r="C169" s="16"/>
      <c r="D169" s="16"/>
      <c r="E169" s="16"/>
      <c r="F169" s="16"/>
      <c r="G169" s="16"/>
      <c r="H169" s="43"/>
      <c r="I169" s="16"/>
      <c r="J169" s="16"/>
    </row>
    <row r="170" customFormat="false" ht="15" hidden="false" customHeight="false" outlineLevel="0" collapsed="false">
      <c r="B170" s="16"/>
      <c r="C170" s="16"/>
      <c r="D170" s="16"/>
      <c r="E170" s="16"/>
      <c r="F170" s="16"/>
      <c r="G170" s="16"/>
      <c r="H170" s="43"/>
      <c r="I170" s="16"/>
      <c r="J170" s="16"/>
    </row>
    <row r="171" customFormat="false" ht="15" hidden="false" customHeight="false" outlineLevel="0" collapsed="false">
      <c r="B171" s="16"/>
      <c r="C171" s="16"/>
      <c r="D171" s="16"/>
      <c r="E171" s="16"/>
      <c r="F171" s="16"/>
      <c r="G171" s="16"/>
      <c r="H171" s="43"/>
      <c r="I171" s="16"/>
      <c r="J171" s="16"/>
    </row>
    <row r="172" customFormat="false" ht="15" hidden="false" customHeight="false" outlineLevel="0" collapsed="false">
      <c r="B172" s="16"/>
      <c r="C172" s="16"/>
      <c r="D172" s="16"/>
      <c r="E172" s="16"/>
      <c r="F172" s="16"/>
      <c r="G172" s="16"/>
      <c r="H172" s="43"/>
      <c r="I172" s="16"/>
      <c r="J172" s="16"/>
    </row>
    <row r="173" customFormat="false" ht="15" hidden="false" customHeight="false" outlineLevel="0" collapsed="false">
      <c r="B173" s="16"/>
      <c r="C173" s="16"/>
      <c r="D173" s="16"/>
      <c r="E173" s="16"/>
      <c r="F173" s="16"/>
      <c r="G173" s="16"/>
      <c r="H173" s="43"/>
      <c r="I173" s="16"/>
      <c r="J173" s="16"/>
    </row>
    <row r="174" customFormat="false" ht="15" hidden="false" customHeight="false" outlineLevel="0" collapsed="false">
      <c r="B174" s="16"/>
      <c r="C174" s="16"/>
      <c r="D174" s="16"/>
      <c r="E174" s="16"/>
      <c r="F174" s="16"/>
      <c r="G174" s="16"/>
      <c r="H174" s="43"/>
      <c r="I174" s="16"/>
      <c r="J174" s="16"/>
    </row>
    <row r="175" customFormat="false" ht="15" hidden="false" customHeight="false" outlineLevel="0" collapsed="false">
      <c r="B175" s="16"/>
      <c r="C175" s="16"/>
      <c r="D175" s="16"/>
      <c r="E175" s="16"/>
      <c r="F175" s="16"/>
      <c r="G175" s="16"/>
      <c r="H175" s="43"/>
      <c r="I175" s="16"/>
      <c r="J175" s="16"/>
    </row>
    <row r="176" customFormat="false" ht="15" hidden="false" customHeight="false" outlineLevel="0" collapsed="false">
      <c r="B176" s="16"/>
      <c r="C176" s="16"/>
      <c r="D176" s="16"/>
      <c r="E176" s="16"/>
      <c r="F176" s="16"/>
      <c r="G176" s="16"/>
      <c r="H176" s="43"/>
      <c r="I176" s="16"/>
      <c r="J176" s="16"/>
    </row>
    <row r="177" customFormat="false" ht="15" hidden="false" customHeight="false" outlineLevel="0" collapsed="false">
      <c r="B177" s="16"/>
      <c r="C177" s="16"/>
      <c r="D177" s="16"/>
      <c r="E177" s="16"/>
      <c r="F177" s="16"/>
      <c r="G177" s="16"/>
      <c r="H177" s="43"/>
      <c r="I177" s="16"/>
      <c r="J177" s="16"/>
    </row>
    <row r="178" customFormat="false" ht="15" hidden="false" customHeight="false" outlineLevel="0" collapsed="false">
      <c r="B178" s="16"/>
      <c r="C178" s="16"/>
      <c r="D178" s="16"/>
      <c r="E178" s="16"/>
      <c r="F178" s="16"/>
      <c r="G178" s="16"/>
      <c r="H178" s="43"/>
      <c r="I178" s="16"/>
      <c r="J178" s="16"/>
    </row>
    <row r="179" customFormat="false" ht="15" hidden="false" customHeight="false" outlineLevel="0" collapsed="false">
      <c r="B179" s="16"/>
      <c r="C179" s="16"/>
      <c r="D179" s="16"/>
      <c r="E179" s="16"/>
      <c r="F179" s="16"/>
      <c r="G179" s="16"/>
      <c r="H179" s="43"/>
      <c r="I179" s="16"/>
      <c r="J179" s="16"/>
    </row>
    <row r="180" customFormat="false" ht="15" hidden="false" customHeight="false" outlineLevel="0" collapsed="false">
      <c r="B180" s="16"/>
      <c r="C180" s="16"/>
      <c r="D180" s="16"/>
      <c r="E180" s="16"/>
      <c r="F180" s="16"/>
      <c r="G180" s="16"/>
      <c r="H180" s="43"/>
      <c r="I180" s="16"/>
      <c r="J180" s="16"/>
    </row>
    <row r="181" customFormat="false" ht="15" hidden="false" customHeight="false" outlineLevel="0" collapsed="false">
      <c r="B181" s="16"/>
      <c r="C181" s="16"/>
      <c r="D181" s="16"/>
      <c r="E181" s="16"/>
      <c r="F181" s="16"/>
      <c r="G181" s="16"/>
      <c r="H181" s="43"/>
      <c r="I181" s="16"/>
      <c r="J181" s="16"/>
    </row>
    <row r="182" customFormat="false" ht="15" hidden="false" customHeight="false" outlineLevel="0" collapsed="false">
      <c r="B182" s="16"/>
      <c r="C182" s="16"/>
      <c r="D182" s="16"/>
      <c r="E182" s="16"/>
      <c r="F182" s="16"/>
      <c r="G182" s="16"/>
      <c r="H182" s="43"/>
      <c r="I182" s="16"/>
      <c r="J182" s="16"/>
    </row>
    <row r="183" customFormat="false" ht="15" hidden="false" customHeight="false" outlineLevel="0" collapsed="false">
      <c r="B183" s="16"/>
      <c r="C183" s="16"/>
      <c r="D183" s="16"/>
      <c r="E183" s="16"/>
      <c r="F183" s="16"/>
      <c r="G183" s="16"/>
      <c r="H183" s="43"/>
      <c r="I183" s="16"/>
      <c r="J183" s="16"/>
    </row>
    <row r="184" customFormat="false" ht="15" hidden="false" customHeight="false" outlineLevel="0" collapsed="false">
      <c r="B184" s="16"/>
      <c r="C184" s="16"/>
      <c r="D184" s="16"/>
      <c r="E184" s="16"/>
      <c r="F184" s="16"/>
      <c r="G184" s="16"/>
      <c r="H184" s="43"/>
      <c r="I184" s="16"/>
      <c r="J184" s="16"/>
    </row>
    <row r="185" customFormat="false" ht="15" hidden="false" customHeight="false" outlineLevel="0" collapsed="false">
      <c r="B185" s="16"/>
      <c r="C185" s="16"/>
      <c r="D185" s="16"/>
      <c r="E185" s="16"/>
      <c r="F185" s="16"/>
      <c r="G185" s="16"/>
      <c r="H185" s="43"/>
      <c r="I185" s="16"/>
      <c r="J185" s="16"/>
    </row>
    <row r="186" customFormat="false" ht="15" hidden="false" customHeight="false" outlineLevel="0" collapsed="false">
      <c r="B186" s="16"/>
      <c r="C186" s="16"/>
      <c r="D186" s="16"/>
      <c r="E186" s="16"/>
      <c r="F186" s="16"/>
      <c r="G186" s="16"/>
      <c r="H186" s="43"/>
      <c r="I186" s="16"/>
      <c r="J186" s="16"/>
    </row>
    <row r="187" customFormat="false" ht="15" hidden="false" customHeight="false" outlineLevel="0" collapsed="false">
      <c r="B187" s="16"/>
      <c r="C187" s="16"/>
      <c r="D187" s="16"/>
      <c r="E187" s="16"/>
      <c r="F187" s="16"/>
      <c r="G187" s="16"/>
      <c r="H187" s="43"/>
      <c r="I187" s="16"/>
      <c r="J187" s="16"/>
    </row>
    <row r="188" customFormat="false" ht="15" hidden="false" customHeight="false" outlineLevel="0" collapsed="false">
      <c r="B188" s="16"/>
      <c r="C188" s="16"/>
      <c r="D188" s="16"/>
      <c r="E188" s="16"/>
      <c r="F188" s="16"/>
      <c r="G188" s="16"/>
      <c r="H188" s="43"/>
      <c r="I188" s="16"/>
      <c r="J188" s="16"/>
    </row>
    <row r="189" customFormat="false" ht="15" hidden="false" customHeight="false" outlineLevel="0" collapsed="false">
      <c r="B189" s="16"/>
      <c r="C189" s="16"/>
      <c r="D189" s="16"/>
      <c r="E189" s="16"/>
      <c r="F189" s="16"/>
      <c r="G189" s="16"/>
      <c r="H189" s="43"/>
      <c r="I189" s="16"/>
      <c r="J189" s="16"/>
    </row>
    <row r="190" customFormat="false" ht="15" hidden="false" customHeight="false" outlineLevel="0" collapsed="false">
      <c r="B190" s="16"/>
      <c r="C190" s="16"/>
      <c r="D190" s="16"/>
      <c r="E190" s="16"/>
      <c r="F190" s="16"/>
      <c r="G190" s="16"/>
      <c r="H190" s="43"/>
      <c r="I190" s="16"/>
      <c r="J190" s="16"/>
    </row>
    <row r="191" customFormat="false" ht="15" hidden="false" customHeight="false" outlineLevel="0" collapsed="false">
      <c r="B191" s="16"/>
      <c r="C191" s="16"/>
      <c r="D191" s="16"/>
      <c r="E191" s="16"/>
      <c r="F191" s="16"/>
      <c r="G191" s="16"/>
      <c r="H191" s="43"/>
      <c r="I191" s="16"/>
      <c r="J191" s="16"/>
    </row>
    <row r="192" customFormat="false" ht="15" hidden="false" customHeight="false" outlineLevel="0" collapsed="false">
      <c r="B192" s="16"/>
      <c r="C192" s="16"/>
      <c r="D192" s="16"/>
      <c r="E192" s="16"/>
      <c r="F192" s="16"/>
      <c r="G192" s="16"/>
      <c r="H192" s="43"/>
      <c r="I192" s="16"/>
      <c r="J192" s="16"/>
    </row>
    <row r="193" customFormat="false" ht="15" hidden="false" customHeight="false" outlineLevel="0" collapsed="false">
      <c r="B193" s="16"/>
      <c r="C193" s="16"/>
      <c r="D193" s="16"/>
      <c r="E193" s="16"/>
      <c r="F193" s="16"/>
      <c r="G193" s="16"/>
      <c r="H193" s="43"/>
      <c r="I193" s="16"/>
      <c r="J193" s="16"/>
    </row>
    <row r="194" customFormat="false" ht="15" hidden="false" customHeight="false" outlineLevel="0" collapsed="false">
      <c r="B194" s="16"/>
      <c r="C194" s="16"/>
      <c r="D194" s="16"/>
      <c r="E194" s="16"/>
      <c r="F194" s="16"/>
      <c r="G194" s="16"/>
      <c r="H194" s="43"/>
      <c r="I194" s="16"/>
      <c r="J194" s="16"/>
    </row>
    <row r="195" customFormat="false" ht="15" hidden="false" customHeight="false" outlineLevel="0" collapsed="false">
      <c r="B195" s="16"/>
      <c r="C195" s="16"/>
      <c r="D195" s="16"/>
      <c r="E195" s="16"/>
      <c r="F195" s="16"/>
      <c r="G195" s="16"/>
      <c r="H195" s="43"/>
      <c r="I195" s="16"/>
      <c r="J195" s="16"/>
    </row>
    <row r="196" customFormat="false" ht="15" hidden="false" customHeight="false" outlineLevel="0" collapsed="false">
      <c r="B196" s="16"/>
      <c r="C196" s="16"/>
      <c r="D196" s="16"/>
      <c r="E196" s="16"/>
      <c r="F196" s="16"/>
      <c r="G196" s="16"/>
      <c r="H196" s="43"/>
      <c r="I196" s="16"/>
      <c r="J196" s="16"/>
    </row>
    <row r="197" customFormat="false" ht="15" hidden="false" customHeight="false" outlineLevel="0" collapsed="false">
      <c r="B197" s="16"/>
      <c r="C197" s="16"/>
      <c r="D197" s="16"/>
      <c r="E197" s="16"/>
      <c r="F197" s="16"/>
      <c r="G197" s="16"/>
      <c r="H197" s="43"/>
      <c r="I197" s="16"/>
      <c r="J197" s="16"/>
    </row>
    <row r="198" customFormat="false" ht="15" hidden="false" customHeight="false" outlineLevel="0" collapsed="false">
      <c r="B198" s="16"/>
      <c r="C198" s="16"/>
      <c r="D198" s="16"/>
      <c r="E198" s="16"/>
      <c r="F198" s="16"/>
      <c r="G198" s="16"/>
      <c r="H198" s="43"/>
      <c r="I198" s="16"/>
      <c r="J198" s="16"/>
    </row>
    <row r="199" customFormat="false" ht="15" hidden="false" customHeight="false" outlineLevel="0" collapsed="false">
      <c r="B199" s="16"/>
      <c r="C199" s="16"/>
      <c r="D199" s="16"/>
      <c r="E199" s="16"/>
      <c r="F199" s="16"/>
      <c r="G199" s="16"/>
      <c r="H199" s="43"/>
      <c r="I199" s="16"/>
      <c r="J199" s="16"/>
    </row>
    <row r="200" customFormat="false" ht="15" hidden="false" customHeight="false" outlineLevel="0" collapsed="false">
      <c r="B200" s="16"/>
      <c r="C200" s="16"/>
      <c r="D200" s="16"/>
      <c r="E200" s="16"/>
      <c r="F200" s="16"/>
      <c r="G200" s="16"/>
      <c r="H200" s="43"/>
      <c r="I200" s="16"/>
      <c r="J200" s="16"/>
    </row>
    <row r="201" customFormat="false" ht="15" hidden="false" customHeight="false" outlineLevel="0" collapsed="false">
      <c r="B201" s="16"/>
      <c r="C201" s="16"/>
      <c r="D201" s="16"/>
      <c r="E201" s="16"/>
      <c r="F201" s="16"/>
      <c r="G201" s="16"/>
      <c r="H201" s="43"/>
      <c r="I201" s="16"/>
      <c r="J201" s="16"/>
    </row>
    <row r="202" customFormat="false" ht="15" hidden="false" customHeight="false" outlineLevel="0" collapsed="false">
      <c r="B202" s="16"/>
      <c r="C202" s="16"/>
      <c r="D202" s="16"/>
      <c r="E202" s="16"/>
      <c r="F202" s="16"/>
      <c r="G202" s="16"/>
      <c r="H202" s="43"/>
      <c r="I202" s="16"/>
      <c r="J202" s="16"/>
    </row>
    <row r="203" customFormat="false" ht="15" hidden="false" customHeight="false" outlineLevel="0" collapsed="false">
      <c r="B203" s="16"/>
      <c r="C203" s="16"/>
      <c r="D203" s="16"/>
      <c r="E203" s="16"/>
      <c r="F203" s="16"/>
      <c r="G203" s="16"/>
      <c r="H203" s="43"/>
      <c r="I203" s="16"/>
      <c r="J203" s="16"/>
    </row>
    <row r="204" customFormat="false" ht="15" hidden="false" customHeight="false" outlineLevel="0" collapsed="false">
      <c r="B204" s="16"/>
      <c r="C204" s="16"/>
      <c r="D204" s="16"/>
      <c r="E204" s="16"/>
      <c r="F204" s="16"/>
      <c r="G204" s="16"/>
      <c r="H204" s="43"/>
      <c r="I204" s="16"/>
      <c r="J204" s="16"/>
    </row>
  </sheetData>
  <autoFilter ref="B4:J204"/>
  <conditionalFormatting sqref="I5:I204">
    <cfRule type="cellIs" priority="2" operator="equal" aboveAverage="0" equalAverage="0" bottom="0" percent="0" rank="0" text="" dxfId="36">
      <formula>"Planned"</formula>
    </cfRule>
    <cfRule type="cellIs" priority="3" operator="equal" aboveAverage="0" equalAverage="0" bottom="0" percent="0" rank="0" text="" dxfId="26">
      <formula>"Used"</formula>
    </cfRule>
    <cfRule type="cellIs" priority="4" operator="equal" aboveAverage="0" equalAverage="0" bottom="0" percent="0" rank="0" text="" dxfId="22">
      <formula>"Parked"</formula>
    </cfRule>
  </conditionalFormatting>
  <dataValidations count="5">
    <dataValidation allowBlank="true" error="Pick a value from the list (edit the list on the Setup tab)." errorStyle="warning" errorTitle="Not in list" operator="between" showDropDown="false" showErrorMessage="false" showInputMessage="false" sqref="C5:C204" type="list">
      <formula1>Setup!$G$9:$G$16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D5:D204" type="list">
      <formula1>Setup!$B$9:$B$18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E5:E204" type="list">
      <formula1>Setup!$K$9:$K$22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F5:F204" type="list">
      <formula1>"🔥 High,Medium,Low"</formula1>
      <formula2>0</formula2>
    </dataValidation>
    <dataValidation allowBlank="true" error="Pick a value from the list (edit the list on the Setup tab)." errorStyle="warning" errorTitle="Not in list" operator="between" showDropDown="false" showErrorMessage="false" showInputMessage="false" sqref="I5:I204" type="list">
      <formula1>"New,Planned,Parked,Used"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9B26F"/>
    <pageSetUpPr fitToPage="true"/>
  </sheetPr>
  <dimension ref="A1:F1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70"/>
    <col collapsed="false" customWidth="true" hidden="false" outlineLevel="0" max="5" min="5" style="0" width="9"/>
    <col collapsed="false" customWidth="true" hidden="false" outlineLevel="0" max="6" min="6" style="0" width="30"/>
  </cols>
  <sheetData>
    <row r="1" customFormat="false" ht="33.75" hidden="false" customHeight="true" outlineLevel="0" collapsed="false">
      <c r="B1" s="1" t="s">
        <v>304</v>
      </c>
    </row>
    <row r="2" customFormat="false" ht="19.5" hidden="false" customHeight="true" outlineLevel="0" collapsed="false">
      <c r="A2" s="2"/>
      <c r="B2" s="3" t="s">
        <v>305</v>
      </c>
      <c r="C2" s="2"/>
      <c r="D2" s="2"/>
      <c r="E2" s="2"/>
      <c r="F2" s="2"/>
    </row>
    <row r="4" customFormat="false" ht="30" hidden="false" customHeight="true" outlineLevel="0" collapsed="false">
      <c r="B4" s="17" t="s">
        <v>306</v>
      </c>
      <c r="C4" s="17" t="s">
        <v>45</v>
      </c>
      <c r="D4" s="17" t="s">
        <v>307</v>
      </c>
      <c r="E4" s="18" t="s">
        <v>139</v>
      </c>
      <c r="F4" s="17" t="s">
        <v>153</v>
      </c>
    </row>
    <row r="5" customFormat="false" ht="23.85" hidden="false" customHeight="false" outlineLevel="0" collapsed="false">
      <c r="B5" s="16" t="s">
        <v>163</v>
      </c>
      <c r="C5" s="16" t="s">
        <v>58</v>
      </c>
      <c r="D5" s="16" t="s">
        <v>308</v>
      </c>
      <c r="E5" s="11" t="n">
        <f aca="false">IF(D5="","",LEN(D5)-LEN(SUBSTITUTE(D5,"#","")))</f>
        <v>8</v>
      </c>
      <c r="F5" s="16" t="s">
        <v>309</v>
      </c>
    </row>
    <row r="6" customFormat="false" ht="15" hidden="false" customHeight="false" outlineLevel="0" collapsed="false">
      <c r="B6" s="16" t="s">
        <v>182</v>
      </c>
      <c r="C6" s="16" t="s">
        <v>58</v>
      </c>
      <c r="D6" s="16" t="s">
        <v>310</v>
      </c>
      <c r="E6" s="11" t="n">
        <f aca="false">IF(D6="","",LEN(D6)-LEN(SUBSTITUTE(D6,"#","")))</f>
        <v>5</v>
      </c>
      <c r="F6" s="16"/>
    </row>
    <row r="7" customFormat="false" ht="15" hidden="false" customHeight="false" outlineLevel="0" collapsed="false">
      <c r="B7" s="16" t="s">
        <v>168</v>
      </c>
      <c r="C7" s="16" t="s">
        <v>67</v>
      </c>
      <c r="D7" s="16" t="s">
        <v>311</v>
      </c>
      <c r="E7" s="11" t="n">
        <f aca="false">IF(D7="","",LEN(D7)-LEN(SUBSTITUTE(D7,"#","")))</f>
        <v>4</v>
      </c>
      <c r="F7" s="16" t="s">
        <v>312</v>
      </c>
    </row>
    <row r="8" customFormat="false" ht="15" hidden="false" customHeight="false" outlineLevel="0" collapsed="false">
      <c r="B8" s="16" t="s">
        <v>173</v>
      </c>
      <c r="C8" s="16" t="s">
        <v>83</v>
      </c>
      <c r="D8" s="16" t="s">
        <v>313</v>
      </c>
      <c r="E8" s="11" t="n">
        <f aca="false">IF(D8="","",LEN(D8)-LEN(SUBSTITUTE(D8,"#","")))</f>
        <v>3</v>
      </c>
      <c r="F8" s="16" t="s">
        <v>314</v>
      </c>
    </row>
    <row r="9" customFormat="false" ht="15" hidden="false" customHeight="false" outlineLevel="0" collapsed="false">
      <c r="B9" s="16" t="s">
        <v>177</v>
      </c>
      <c r="C9" s="16" t="s">
        <v>100</v>
      </c>
      <c r="D9" s="16" t="s">
        <v>315</v>
      </c>
      <c r="E9" s="11" t="n">
        <f aca="false">IF(D9="","",LEN(D9)-LEN(SUBSTITUTE(D9,"#","")))</f>
        <v>3</v>
      </c>
      <c r="F9" s="16"/>
    </row>
    <row r="10" customFormat="false" ht="15" hidden="false" customHeight="false" outlineLevel="0" collapsed="false">
      <c r="B10" s="16" t="s">
        <v>192</v>
      </c>
      <c r="C10" s="16" t="s">
        <v>75</v>
      </c>
      <c r="D10" s="16" t="s">
        <v>316</v>
      </c>
      <c r="E10" s="11" t="n">
        <f aca="false">IF(D10="","",LEN(D10)-LEN(SUBSTITUTE(D10,"#","")))</f>
        <v>3</v>
      </c>
      <c r="F10" s="16"/>
    </row>
    <row r="11" customFormat="false" ht="15" hidden="false" customHeight="false" outlineLevel="0" collapsed="false">
      <c r="B11" s="16" t="s">
        <v>205</v>
      </c>
      <c r="C11" s="16" t="s">
        <v>105</v>
      </c>
      <c r="D11" s="16" t="s">
        <v>317</v>
      </c>
      <c r="E11" s="11" t="n">
        <f aca="false">IF(D11="","",LEN(D11)-LEN(SUBSTITUTE(D11,"#","")))</f>
        <v>1</v>
      </c>
      <c r="F11" s="16" t="s">
        <v>318</v>
      </c>
    </row>
    <row r="12" customFormat="false" ht="15" hidden="false" customHeight="false" outlineLevel="0" collapsed="false">
      <c r="B12" s="16"/>
      <c r="C12" s="16"/>
      <c r="D12" s="16"/>
      <c r="E12" s="11" t="str">
        <f aca="false">IF(D12="","",LEN(D12)-LEN(SUBSTITUTE(D12,"#","")))</f>
        <v/>
      </c>
      <c r="F12" s="16"/>
    </row>
    <row r="13" customFormat="false" ht="15" hidden="false" customHeight="false" outlineLevel="0" collapsed="false">
      <c r="B13" s="16"/>
      <c r="C13" s="16"/>
      <c r="D13" s="16"/>
      <c r="E13" s="11" t="str">
        <f aca="false">IF(D13="","",LEN(D13)-LEN(SUBSTITUTE(D13,"#","")))</f>
        <v/>
      </c>
      <c r="F13" s="16"/>
    </row>
    <row r="14" customFormat="false" ht="15" hidden="false" customHeight="false" outlineLevel="0" collapsed="false">
      <c r="B14" s="16"/>
      <c r="C14" s="16"/>
      <c r="D14" s="16"/>
      <c r="E14" s="11" t="str">
        <f aca="false">IF(D14="","",LEN(D14)-LEN(SUBSTITUTE(D14,"#","")))</f>
        <v/>
      </c>
      <c r="F14" s="16"/>
    </row>
    <row r="15" customFormat="false" ht="15" hidden="false" customHeight="false" outlineLevel="0" collapsed="false">
      <c r="B15" s="16"/>
      <c r="C15" s="16"/>
      <c r="D15" s="16"/>
      <c r="E15" s="11" t="str">
        <f aca="false">IF(D15="","",LEN(D15)-LEN(SUBSTITUTE(D15,"#","")))</f>
        <v/>
      </c>
      <c r="F15" s="16"/>
    </row>
    <row r="16" customFormat="false" ht="15" hidden="false" customHeight="false" outlineLevel="0" collapsed="false">
      <c r="B16" s="16"/>
      <c r="C16" s="16"/>
      <c r="D16" s="16"/>
      <c r="E16" s="11" t="str">
        <f aca="false">IF(D16="","",LEN(D16)-LEN(SUBSTITUTE(D16,"#","")))</f>
        <v/>
      </c>
      <c r="F16" s="16"/>
    </row>
    <row r="17" customFormat="false" ht="15" hidden="false" customHeight="false" outlineLevel="0" collapsed="false">
      <c r="B17" s="16"/>
      <c r="C17" s="16"/>
      <c r="D17" s="16"/>
      <c r="E17" s="11" t="str">
        <f aca="false">IF(D17="","",LEN(D17)-LEN(SUBSTITUTE(D17,"#","")))</f>
        <v/>
      </c>
      <c r="F17" s="16"/>
    </row>
    <row r="18" customFormat="false" ht="15" hidden="false" customHeight="false" outlineLevel="0" collapsed="false">
      <c r="B18" s="16"/>
      <c r="C18" s="16"/>
      <c r="D18" s="16"/>
      <c r="E18" s="11" t="str">
        <f aca="false">IF(D18="","",LEN(D18)-LEN(SUBSTITUTE(D18,"#","")))</f>
        <v/>
      </c>
      <c r="F18" s="16"/>
    </row>
    <row r="19" customFormat="false" ht="15" hidden="false" customHeight="false" outlineLevel="0" collapsed="false">
      <c r="B19" s="16"/>
      <c r="C19" s="16"/>
      <c r="D19" s="16"/>
      <c r="E19" s="11" t="str">
        <f aca="false">IF(D19="","",LEN(D19)-LEN(SUBSTITUTE(D19,"#","")))</f>
        <v/>
      </c>
      <c r="F19" s="16"/>
    </row>
    <row r="20" customFormat="false" ht="15" hidden="false" customHeight="false" outlineLevel="0" collapsed="false">
      <c r="B20" s="16"/>
      <c r="C20" s="16"/>
      <c r="D20" s="16"/>
      <c r="E20" s="11" t="str">
        <f aca="false">IF(D20="","",LEN(D20)-LEN(SUBSTITUTE(D20,"#","")))</f>
        <v/>
      </c>
      <c r="F20" s="16"/>
    </row>
    <row r="21" customFormat="false" ht="15" hidden="false" customHeight="false" outlineLevel="0" collapsed="false">
      <c r="B21" s="16"/>
      <c r="C21" s="16"/>
      <c r="D21" s="16"/>
      <c r="E21" s="11" t="str">
        <f aca="false">IF(D21="","",LEN(D21)-LEN(SUBSTITUTE(D21,"#","")))</f>
        <v/>
      </c>
      <c r="F21" s="16"/>
    </row>
    <row r="22" customFormat="false" ht="15" hidden="false" customHeight="false" outlineLevel="0" collapsed="false">
      <c r="B22" s="16"/>
      <c r="C22" s="16"/>
      <c r="D22" s="16"/>
      <c r="E22" s="11" t="str">
        <f aca="false">IF(D22="","",LEN(D22)-LEN(SUBSTITUTE(D22,"#","")))</f>
        <v/>
      </c>
      <c r="F22" s="16"/>
    </row>
    <row r="23" customFormat="false" ht="15" hidden="false" customHeight="false" outlineLevel="0" collapsed="false">
      <c r="B23" s="16"/>
      <c r="C23" s="16"/>
      <c r="D23" s="16"/>
      <c r="E23" s="11" t="str">
        <f aca="false">IF(D23="","",LEN(D23)-LEN(SUBSTITUTE(D23,"#","")))</f>
        <v/>
      </c>
      <c r="F23" s="16"/>
    </row>
    <row r="24" customFormat="false" ht="15" hidden="false" customHeight="false" outlineLevel="0" collapsed="false">
      <c r="B24" s="16"/>
      <c r="C24" s="16"/>
      <c r="D24" s="16"/>
      <c r="E24" s="11" t="str">
        <f aca="false">IF(D24="","",LEN(D24)-LEN(SUBSTITUTE(D24,"#","")))</f>
        <v/>
      </c>
      <c r="F24" s="16"/>
    </row>
    <row r="25" customFormat="false" ht="15" hidden="false" customHeight="false" outlineLevel="0" collapsed="false">
      <c r="B25" s="16"/>
      <c r="C25" s="16"/>
      <c r="D25" s="16"/>
      <c r="E25" s="11" t="str">
        <f aca="false">IF(D25="","",LEN(D25)-LEN(SUBSTITUTE(D25,"#","")))</f>
        <v/>
      </c>
      <c r="F25" s="16"/>
    </row>
    <row r="26" customFormat="false" ht="15" hidden="false" customHeight="false" outlineLevel="0" collapsed="false">
      <c r="B26" s="16"/>
      <c r="C26" s="16"/>
      <c r="D26" s="16"/>
      <c r="E26" s="11" t="str">
        <f aca="false">IF(D26="","",LEN(D26)-LEN(SUBSTITUTE(D26,"#","")))</f>
        <v/>
      </c>
      <c r="F26" s="16"/>
    </row>
    <row r="27" customFormat="false" ht="15" hidden="false" customHeight="false" outlineLevel="0" collapsed="false">
      <c r="B27" s="16"/>
      <c r="C27" s="16"/>
      <c r="D27" s="16"/>
      <c r="E27" s="11" t="str">
        <f aca="false">IF(D27="","",LEN(D27)-LEN(SUBSTITUTE(D27,"#","")))</f>
        <v/>
      </c>
      <c r="F27" s="16"/>
    </row>
    <row r="28" customFormat="false" ht="15" hidden="false" customHeight="false" outlineLevel="0" collapsed="false">
      <c r="B28" s="16"/>
      <c r="C28" s="16"/>
      <c r="D28" s="16"/>
      <c r="E28" s="11" t="str">
        <f aca="false">IF(D28="","",LEN(D28)-LEN(SUBSTITUTE(D28,"#","")))</f>
        <v/>
      </c>
      <c r="F28" s="16"/>
    </row>
    <row r="29" customFormat="false" ht="15" hidden="false" customHeight="false" outlineLevel="0" collapsed="false">
      <c r="B29" s="16"/>
      <c r="C29" s="16"/>
      <c r="D29" s="16"/>
      <c r="E29" s="11" t="str">
        <f aca="false">IF(D29="","",LEN(D29)-LEN(SUBSTITUTE(D29,"#","")))</f>
        <v/>
      </c>
      <c r="F29" s="16"/>
    </row>
    <row r="30" customFormat="false" ht="15" hidden="false" customHeight="false" outlineLevel="0" collapsed="false">
      <c r="B30" s="16"/>
      <c r="C30" s="16"/>
      <c r="D30" s="16"/>
      <c r="E30" s="11" t="str">
        <f aca="false">IF(D30="","",LEN(D30)-LEN(SUBSTITUTE(D30,"#","")))</f>
        <v/>
      </c>
      <c r="F30" s="16"/>
    </row>
    <row r="31" customFormat="false" ht="15" hidden="false" customHeight="false" outlineLevel="0" collapsed="false">
      <c r="B31" s="16"/>
      <c r="C31" s="16"/>
      <c r="D31" s="16"/>
      <c r="E31" s="11" t="str">
        <f aca="false">IF(D31="","",LEN(D31)-LEN(SUBSTITUTE(D31,"#","")))</f>
        <v/>
      </c>
      <c r="F31" s="16"/>
    </row>
    <row r="32" customFormat="false" ht="15" hidden="false" customHeight="false" outlineLevel="0" collapsed="false">
      <c r="B32" s="16"/>
      <c r="C32" s="16"/>
      <c r="D32" s="16"/>
      <c r="E32" s="11" t="str">
        <f aca="false">IF(D32="","",LEN(D32)-LEN(SUBSTITUTE(D32,"#","")))</f>
        <v/>
      </c>
      <c r="F32" s="16"/>
    </row>
    <row r="33" customFormat="false" ht="15" hidden="false" customHeight="false" outlineLevel="0" collapsed="false">
      <c r="B33" s="16"/>
      <c r="C33" s="16"/>
      <c r="D33" s="16"/>
      <c r="E33" s="11" t="str">
        <f aca="false">IF(D33="","",LEN(D33)-LEN(SUBSTITUTE(D33,"#","")))</f>
        <v/>
      </c>
      <c r="F33" s="16"/>
    </row>
    <row r="34" customFormat="false" ht="15" hidden="false" customHeight="false" outlineLevel="0" collapsed="false">
      <c r="B34" s="16"/>
      <c r="C34" s="16"/>
      <c r="D34" s="16"/>
      <c r="E34" s="11" t="str">
        <f aca="false">IF(D34="","",LEN(D34)-LEN(SUBSTITUTE(D34,"#","")))</f>
        <v/>
      </c>
      <c r="F34" s="16"/>
    </row>
    <row r="35" customFormat="false" ht="15" hidden="false" customHeight="false" outlineLevel="0" collapsed="false">
      <c r="B35" s="16"/>
      <c r="C35" s="16"/>
      <c r="D35" s="16"/>
      <c r="E35" s="11" t="str">
        <f aca="false">IF(D35="","",LEN(D35)-LEN(SUBSTITUTE(D35,"#","")))</f>
        <v/>
      </c>
      <c r="F35" s="16"/>
    </row>
    <row r="36" customFormat="false" ht="15" hidden="false" customHeight="false" outlineLevel="0" collapsed="false">
      <c r="B36" s="16"/>
      <c r="C36" s="16"/>
      <c r="D36" s="16"/>
      <c r="E36" s="11" t="str">
        <f aca="false">IF(D36="","",LEN(D36)-LEN(SUBSTITUTE(D36,"#","")))</f>
        <v/>
      </c>
      <c r="F36" s="16"/>
    </row>
    <row r="37" customFormat="false" ht="15" hidden="false" customHeight="false" outlineLevel="0" collapsed="false">
      <c r="B37" s="16"/>
      <c r="C37" s="16"/>
      <c r="D37" s="16"/>
      <c r="E37" s="11" t="str">
        <f aca="false">IF(D37="","",LEN(D37)-LEN(SUBSTITUTE(D37,"#","")))</f>
        <v/>
      </c>
      <c r="F37" s="16"/>
    </row>
    <row r="38" customFormat="false" ht="15" hidden="false" customHeight="false" outlineLevel="0" collapsed="false">
      <c r="B38" s="16"/>
      <c r="C38" s="16"/>
      <c r="D38" s="16"/>
      <c r="E38" s="11" t="str">
        <f aca="false">IF(D38="","",LEN(D38)-LEN(SUBSTITUTE(D38,"#","")))</f>
        <v/>
      </c>
      <c r="F38" s="16"/>
    </row>
    <row r="39" customFormat="false" ht="15" hidden="false" customHeight="false" outlineLevel="0" collapsed="false">
      <c r="B39" s="16"/>
      <c r="C39" s="16"/>
      <c r="D39" s="16"/>
      <c r="E39" s="11" t="str">
        <f aca="false">IF(D39="","",LEN(D39)-LEN(SUBSTITUTE(D39,"#","")))</f>
        <v/>
      </c>
      <c r="F39" s="16"/>
    </row>
    <row r="40" customFormat="false" ht="15" hidden="false" customHeight="false" outlineLevel="0" collapsed="false">
      <c r="B40" s="16"/>
      <c r="C40" s="16"/>
      <c r="D40" s="16"/>
      <c r="E40" s="11" t="str">
        <f aca="false">IF(D40="","",LEN(D40)-LEN(SUBSTITUTE(D40,"#","")))</f>
        <v/>
      </c>
      <c r="F40" s="16"/>
    </row>
    <row r="41" customFormat="false" ht="15" hidden="false" customHeight="false" outlineLevel="0" collapsed="false">
      <c r="B41" s="16"/>
      <c r="C41" s="16"/>
      <c r="D41" s="16"/>
      <c r="E41" s="11" t="str">
        <f aca="false">IF(D41="","",LEN(D41)-LEN(SUBSTITUTE(D41,"#","")))</f>
        <v/>
      </c>
      <c r="F41" s="16"/>
    </row>
    <row r="42" customFormat="false" ht="15" hidden="false" customHeight="false" outlineLevel="0" collapsed="false">
      <c r="B42" s="16"/>
      <c r="C42" s="16"/>
      <c r="D42" s="16"/>
      <c r="E42" s="11" t="str">
        <f aca="false">IF(D42="","",LEN(D42)-LEN(SUBSTITUTE(D42,"#","")))</f>
        <v/>
      </c>
      <c r="F42" s="16"/>
    </row>
    <row r="43" customFormat="false" ht="15" hidden="false" customHeight="false" outlineLevel="0" collapsed="false">
      <c r="B43" s="16"/>
      <c r="C43" s="16"/>
      <c r="D43" s="16"/>
      <c r="E43" s="11" t="str">
        <f aca="false">IF(D43="","",LEN(D43)-LEN(SUBSTITUTE(D43,"#","")))</f>
        <v/>
      </c>
      <c r="F43" s="16"/>
    </row>
    <row r="44" customFormat="false" ht="15" hidden="false" customHeight="false" outlineLevel="0" collapsed="false">
      <c r="B44" s="16"/>
      <c r="C44" s="16"/>
      <c r="D44" s="16"/>
      <c r="E44" s="11" t="str">
        <f aca="false">IF(D44="","",LEN(D44)-LEN(SUBSTITUTE(D44,"#","")))</f>
        <v/>
      </c>
      <c r="F44" s="16"/>
    </row>
    <row r="45" customFormat="false" ht="15" hidden="false" customHeight="false" outlineLevel="0" collapsed="false">
      <c r="B45" s="16"/>
      <c r="C45" s="16"/>
      <c r="D45" s="16"/>
      <c r="E45" s="11" t="str">
        <f aca="false">IF(D45="","",LEN(D45)-LEN(SUBSTITUTE(D45,"#","")))</f>
        <v/>
      </c>
      <c r="F45" s="16"/>
    </row>
    <row r="46" customFormat="false" ht="15" hidden="false" customHeight="false" outlineLevel="0" collapsed="false">
      <c r="B46" s="16"/>
      <c r="C46" s="16"/>
      <c r="D46" s="16"/>
      <c r="E46" s="11" t="str">
        <f aca="false">IF(D46="","",LEN(D46)-LEN(SUBSTITUTE(D46,"#","")))</f>
        <v/>
      </c>
      <c r="F46" s="16"/>
    </row>
    <row r="47" customFormat="false" ht="15" hidden="false" customHeight="false" outlineLevel="0" collapsed="false">
      <c r="B47" s="16"/>
      <c r="C47" s="16"/>
      <c r="D47" s="16"/>
      <c r="E47" s="11" t="str">
        <f aca="false">IF(D47="","",LEN(D47)-LEN(SUBSTITUTE(D47,"#","")))</f>
        <v/>
      </c>
      <c r="F47" s="16"/>
    </row>
    <row r="48" customFormat="false" ht="15" hidden="false" customHeight="false" outlineLevel="0" collapsed="false">
      <c r="B48" s="16"/>
      <c r="C48" s="16"/>
      <c r="D48" s="16"/>
      <c r="E48" s="11" t="str">
        <f aca="false">IF(D48="","",LEN(D48)-LEN(SUBSTITUTE(D48,"#","")))</f>
        <v/>
      </c>
      <c r="F48" s="16"/>
    </row>
    <row r="49" customFormat="false" ht="15" hidden="false" customHeight="false" outlineLevel="0" collapsed="false">
      <c r="B49" s="16"/>
      <c r="C49" s="16"/>
      <c r="D49" s="16"/>
      <c r="E49" s="11" t="str">
        <f aca="false">IF(D49="","",LEN(D49)-LEN(SUBSTITUTE(D49,"#","")))</f>
        <v/>
      </c>
      <c r="F49" s="16"/>
    </row>
    <row r="50" customFormat="false" ht="15" hidden="false" customHeight="false" outlineLevel="0" collapsed="false">
      <c r="B50" s="16"/>
      <c r="C50" s="16"/>
      <c r="D50" s="16"/>
      <c r="E50" s="11" t="str">
        <f aca="false">IF(D50="","",LEN(D50)-LEN(SUBSTITUTE(D50,"#","")))</f>
        <v/>
      </c>
      <c r="F50" s="16"/>
    </row>
    <row r="51" customFormat="false" ht="15" hidden="false" customHeight="false" outlineLevel="0" collapsed="false">
      <c r="B51" s="16"/>
      <c r="C51" s="16"/>
      <c r="D51" s="16"/>
      <c r="E51" s="11" t="str">
        <f aca="false">IF(D51="","",LEN(D51)-LEN(SUBSTITUTE(D51,"#","")))</f>
        <v/>
      </c>
      <c r="F51" s="16"/>
    </row>
    <row r="52" customFormat="false" ht="15" hidden="false" customHeight="false" outlineLevel="0" collapsed="false">
      <c r="B52" s="16"/>
      <c r="C52" s="16"/>
      <c r="D52" s="16"/>
      <c r="E52" s="11" t="str">
        <f aca="false">IF(D52="","",LEN(D52)-LEN(SUBSTITUTE(D52,"#","")))</f>
        <v/>
      </c>
      <c r="F52" s="16"/>
    </row>
    <row r="53" customFormat="false" ht="15" hidden="false" customHeight="false" outlineLevel="0" collapsed="false">
      <c r="B53" s="16"/>
      <c r="C53" s="16"/>
      <c r="D53" s="16"/>
      <c r="E53" s="11" t="str">
        <f aca="false">IF(D53="","",LEN(D53)-LEN(SUBSTITUTE(D53,"#","")))</f>
        <v/>
      </c>
      <c r="F53" s="16"/>
    </row>
    <row r="54" customFormat="false" ht="15" hidden="false" customHeight="false" outlineLevel="0" collapsed="false">
      <c r="B54" s="16"/>
      <c r="C54" s="16"/>
      <c r="D54" s="16"/>
      <c r="E54" s="11" t="str">
        <f aca="false">IF(D54="","",LEN(D54)-LEN(SUBSTITUTE(D54,"#","")))</f>
        <v/>
      </c>
      <c r="F54" s="16"/>
    </row>
    <row r="55" customFormat="false" ht="15" hidden="false" customHeight="false" outlineLevel="0" collapsed="false">
      <c r="B55" s="16"/>
      <c r="C55" s="16"/>
      <c r="D55" s="16"/>
      <c r="E55" s="11" t="str">
        <f aca="false">IF(D55="","",LEN(D55)-LEN(SUBSTITUTE(D55,"#","")))</f>
        <v/>
      </c>
      <c r="F55" s="16"/>
    </row>
    <row r="56" customFormat="false" ht="15" hidden="false" customHeight="false" outlineLevel="0" collapsed="false">
      <c r="B56" s="16"/>
      <c r="C56" s="16"/>
      <c r="D56" s="16"/>
      <c r="E56" s="11" t="str">
        <f aca="false">IF(D56="","",LEN(D56)-LEN(SUBSTITUTE(D56,"#","")))</f>
        <v/>
      </c>
      <c r="F56" s="16"/>
    </row>
    <row r="57" customFormat="false" ht="15" hidden="false" customHeight="false" outlineLevel="0" collapsed="false">
      <c r="B57" s="16"/>
      <c r="C57" s="16"/>
      <c r="D57" s="16"/>
      <c r="E57" s="11" t="str">
        <f aca="false">IF(D57="","",LEN(D57)-LEN(SUBSTITUTE(D57,"#","")))</f>
        <v/>
      </c>
      <c r="F57" s="16"/>
    </row>
    <row r="58" customFormat="false" ht="15" hidden="false" customHeight="false" outlineLevel="0" collapsed="false">
      <c r="B58" s="16"/>
      <c r="C58" s="16"/>
      <c r="D58" s="16"/>
      <c r="E58" s="11" t="str">
        <f aca="false">IF(D58="","",LEN(D58)-LEN(SUBSTITUTE(D58,"#","")))</f>
        <v/>
      </c>
      <c r="F58" s="16"/>
    </row>
    <row r="59" customFormat="false" ht="15" hidden="false" customHeight="false" outlineLevel="0" collapsed="false">
      <c r="B59" s="16"/>
      <c r="C59" s="16"/>
      <c r="D59" s="16"/>
      <c r="E59" s="11" t="str">
        <f aca="false">IF(D59="","",LEN(D59)-LEN(SUBSTITUTE(D59,"#","")))</f>
        <v/>
      </c>
      <c r="F59" s="16"/>
    </row>
    <row r="60" customFormat="false" ht="15" hidden="false" customHeight="false" outlineLevel="0" collapsed="false">
      <c r="B60" s="16"/>
      <c r="C60" s="16"/>
      <c r="D60" s="16"/>
      <c r="E60" s="11" t="str">
        <f aca="false">IF(D60="","",LEN(D60)-LEN(SUBSTITUTE(D60,"#","")))</f>
        <v/>
      </c>
      <c r="F60" s="16"/>
    </row>
    <row r="61" customFormat="false" ht="15" hidden="false" customHeight="false" outlineLevel="0" collapsed="false">
      <c r="B61" s="16"/>
      <c r="C61" s="16"/>
      <c r="D61" s="16"/>
      <c r="E61" s="11" t="str">
        <f aca="false">IF(D61="","",LEN(D61)-LEN(SUBSTITUTE(D61,"#","")))</f>
        <v/>
      </c>
      <c r="F61" s="16"/>
    </row>
    <row r="62" customFormat="false" ht="15" hidden="false" customHeight="false" outlineLevel="0" collapsed="false">
      <c r="B62" s="16"/>
      <c r="C62" s="16"/>
      <c r="D62" s="16"/>
      <c r="E62" s="11" t="str">
        <f aca="false">IF(D62="","",LEN(D62)-LEN(SUBSTITUTE(D62,"#","")))</f>
        <v/>
      </c>
      <c r="F62" s="16"/>
    </row>
    <row r="63" customFormat="false" ht="15" hidden="false" customHeight="false" outlineLevel="0" collapsed="false">
      <c r="B63" s="16"/>
      <c r="C63" s="16"/>
      <c r="D63" s="16"/>
      <c r="E63" s="11" t="str">
        <f aca="false">IF(D63="","",LEN(D63)-LEN(SUBSTITUTE(D63,"#","")))</f>
        <v/>
      </c>
      <c r="F63" s="16"/>
    </row>
    <row r="64" customFormat="false" ht="15" hidden="false" customHeight="false" outlineLevel="0" collapsed="false">
      <c r="B64" s="16"/>
      <c r="C64" s="16"/>
      <c r="D64" s="16"/>
      <c r="E64" s="11" t="str">
        <f aca="false">IF(D64="","",LEN(D64)-LEN(SUBSTITUTE(D64,"#","")))</f>
        <v/>
      </c>
      <c r="F64" s="16"/>
    </row>
    <row r="65" customFormat="false" ht="15" hidden="false" customHeight="false" outlineLevel="0" collapsed="false">
      <c r="B65" s="16"/>
      <c r="C65" s="16"/>
      <c r="D65" s="16"/>
      <c r="E65" s="11" t="str">
        <f aca="false">IF(D65="","",LEN(D65)-LEN(SUBSTITUTE(D65,"#","")))</f>
        <v/>
      </c>
      <c r="F65" s="16"/>
    </row>
    <row r="66" customFormat="false" ht="15" hidden="false" customHeight="false" outlineLevel="0" collapsed="false">
      <c r="B66" s="16"/>
      <c r="C66" s="16"/>
      <c r="D66" s="16"/>
      <c r="E66" s="11" t="str">
        <f aca="false">IF(D66="","",LEN(D66)-LEN(SUBSTITUTE(D66,"#","")))</f>
        <v/>
      </c>
      <c r="F66" s="16"/>
    </row>
    <row r="67" customFormat="false" ht="15" hidden="false" customHeight="false" outlineLevel="0" collapsed="false">
      <c r="B67" s="16"/>
      <c r="C67" s="16"/>
      <c r="D67" s="16"/>
      <c r="E67" s="11" t="str">
        <f aca="false">IF(D67="","",LEN(D67)-LEN(SUBSTITUTE(D67,"#","")))</f>
        <v/>
      </c>
      <c r="F67" s="16"/>
    </row>
    <row r="68" customFormat="false" ht="15" hidden="false" customHeight="false" outlineLevel="0" collapsed="false">
      <c r="B68" s="16"/>
      <c r="C68" s="16"/>
      <c r="D68" s="16"/>
      <c r="E68" s="11" t="str">
        <f aca="false">IF(D68="","",LEN(D68)-LEN(SUBSTITUTE(D68,"#","")))</f>
        <v/>
      </c>
      <c r="F68" s="16"/>
    </row>
    <row r="69" customFormat="false" ht="15" hidden="false" customHeight="false" outlineLevel="0" collapsed="false">
      <c r="B69" s="16"/>
      <c r="C69" s="16"/>
      <c r="D69" s="16"/>
      <c r="E69" s="11" t="str">
        <f aca="false">IF(D69="","",LEN(D69)-LEN(SUBSTITUTE(D69,"#","")))</f>
        <v/>
      </c>
      <c r="F69" s="16"/>
    </row>
    <row r="70" customFormat="false" ht="15" hidden="false" customHeight="false" outlineLevel="0" collapsed="false">
      <c r="B70" s="16"/>
      <c r="C70" s="16"/>
      <c r="D70" s="16"/>
      <c r="E70" s="11" t="str">
        <f aca="false">IF(D70="","",LEN(D70)-LEN(SUBSTITUTE(D70,"#","")))</f>
        <v/>
      </c>
      <c r="F70" s="16"/>
    </row>
    <row r="71" customFormat="false" ht="15" hidden="false" customHeight="false" outlineLevel="0" collapsed="false">
      <c r="B71" s="16"/>
      <c r="C71" s="16"/>
      <c r="D71" s="16"/>
      <c r="E71" s="11" t="str">
        <f aca="false">IF(D71="","",LEN(D71)-LEN(SUBSTITUTE(D71,"#","")))</f>
        <v/>
      </c>
      <c r="F71" s="16"/>
    </row>
    <row r="72" customFormat="false" ht="15" hidden="false" customHeight="false" outlineLevel="0" collapsed="false">
      <c r="B72" s="16"/>
      <c r="C72" s="16"/>
      <c r="D72" s="16"/>
      <c r="E72" s="11" t="str">
        <f aca="false">IF(D72="","",LEN(D72)-LEN(SUBSTITUTE(D72,"#","")))</f>
        <v/>
      </c>
      <c r="F72" s="16"/>
    </row>
    <row r="73" customFormat="false" ht="15" hidden="false" customHeight="false" outlineLevel="0" collapsed="false">
      <c r="B73" s="16"/>
      <c r="C73" s="16"/>
      <c r="D73" s="16"/>
      <c r="E73" s="11" t="str">
        <f aca="false">IF(D73="","",LEN(D73)-LEN(SUBSTITUTE(D73,"#","")))</f>
        <v/>
      </c>
      <c r="F73" s="16"/>
    </row>
    <row r="74" customFormat="false" ht="15" hidden="false" customHeight="false" outlineLevel="0" collapsed="false">
      <c r="B74" s="16"/>
      <c r="C74" s="16"/>
      <c r="D74" s="16"/>
      <c r="E74" s="11" t="str">
        <f aca="false">IF(D74="","",LEN(D74)-LEN(SUBSTITUTE(D74,"#","")))</f>
        <v/>
      </c>
      <c r="F74" s="16"/>
    </row>
    <row r="75" customFormat="false" ht="15" hidden="false" customHeight="false" outlineLevel="0" collapsed="false">
      <c r="B75" s="16"/>
      <c r="C75" s="16"/>
      <c r="D75" s="16"/>
      <c r="E75" s="11" t="str">
        <f aca="false">IF(D75="","",LEN(D75)-LEN(SUBSTITUTE(D75,"#","")))</f>
        <v/>
      </c>
      <c r="F75" s="16"/>
    </row>
    <row r="76" customFormat="false" ht="15" hidden="false" customHeight="false" outlineLevel="0" collapsed="false">
      <c r="B76" s="16"/>
      <c r="C76" s="16"/>
      <c r="D76" s="16"/>
      <c r="E76" s="11" t="str">
        <f aca="false">IF(D76="","",LEN(D76)-LEN(SUBSTITUTE(D76,"#","")))</f>
        <v/>
      </c>
      <c r="F76" s="16"/>
    </row>
    <row r="77" customFormat="false" ht="15" hidden="false" customHeight="false" outlineLevel="0" collapsed="false">
      <c r="B77" s="16"/>
      <c r="C77" s="16"/>
      <c r="D77" s="16"/>
      <c r="E77" s="11" t="str">
        <f aca="false">IF(D77="","",LEN(D77)-LEN(SUBSTITUTE(D77,"#","")))</f>
        <v/>
      </c>
      <c r="F77" s="16"/>
    </row>
    <row r="78" customFormat="false" ht="15" hidden="false" customHeight="false" outlineLevel="0" collapsed="false">
      <c r="B78" s="16"/>
      <c r="C78" s="16"/>
      <c r="D78" s="16"/>
      <c r="E78" s="11" t="str">
        <f aca="false">IF(D78="","",LEN(D78)-LEN(SUBSTITUTE(D78,"#","")))</f>
        <v/>
      </c>
      <c r="F78" s="16"/>
    </row>
    <row r="79" customFormat="false" ht="15" hidden="false" customHeight="false" outlineLevel="0" collapsed="false">
      <c r="B79" s="16"/>
      <c r="C79" s="16"/>
      <c r="D79" s="16"/>
      <c r="E79" s="11" t="str">
        <f aca="false">IF(D79="","",LEN(D79)-LEN(SUBSTITUTE(D79,"#","")))</f>
        <v/>
      </c>
      <c r="F79" s="16"/>
    </row>
    <row r="80" customFormat="false" ht="15" hidden="false" customHeight="false" outlineLevel="0" collapsed="false">
      <c r="B80" s="16"/>
      <c r="C80" s="16"/>
      <c r="D80" s="16"/>
      <c r="E80" s="11" t="str">
        <f aca="false">IF(D80="","",LEN(D80)-LEN(SUBSTITUTE(D80,"#","")))</f>
        <v/>
      </c>
      <c r="F80" s="16"/>
    </row>
    <row r="81" customFormat="false" ht="15" hidden="false" customHeight="false" outlineLevel="0" collapsed="false">
      <c r="B81" s="16"/>
      <c r="C81" s="16"/>
      <c r="D81" s="16"/>
      <c r="E81" s="11" t="str">
        <f aca="false">IF(D81="","",LEN(D81)-LEN(SUBSTITUTE(D81,"#","")))</f>
        <v/>
      </c>
      <c r="F81" s="16"/>
    </row>
    <row r="82" customFormat="false" ht="15" hidden="false" customHeight="false" outlineLevel="0" collapsed="false">
      <c r="B82" s="16"/>
      <c r="C82" s="16"/>
      <c r="D82" s="16"/>
      <c r="E82" s="11" t="str">
        <f aca="false">IF(D82="","",LEN(D82)-LEN(SUBSTITUTE(D82,"#","")))</f>
        <v/>
      </c>
      <c r="F82" s="16"/>
    </row>
    <row r="83" customFormat="false" ht="15" hidden="false" customHeight="false" outlineLevel="0" collapsed="false">
      <c r="B83" s="16"/>
      <c r="C83" s="16"/>
      <c r="D83" s="16"/>
      <c r="E83" s="11" t="str">
        <f aca="false">IF(D83="","",LEN(D83)-LEN(SUBSTITUTE(D83,"#","")))</f>
        <v/>
      </c>
      <c r="F83" s="16"/>
    </row>
    <row r="84" customFormat="false" ht="15" hidden="false" customHeight="false" outlineLevel="0" collapsed="false">
      <c r="B84" s="16"/>
      <c r="C84" s="16"/>
      <c r="D84" s="16"/>
      <c r="E84" s="11" t="str">
        <f aca="false">IF(D84="","",LEN(D84)-LEN(SUBSTITUTE(D84,"#","")))</f>
        <v/>
      </c>
      <c r="F84" s="16"/>
    </row>
    <row r="85" customFormat="false" ht="15" hidden="false" customHeight="false" outlineLevel="0" collapsed="false">
      <c r="B85" s="16"/>
      <c r="C85" s="16"/>
      <c r="D85" s="16"/>
      <c r="E85" s="11" t="str">
        <f aca="false">IF(D85="","",LEN(D85)-LEN(SUBSTITUTE(D85,"#","")))</f>
        <v/>
      </c>
      <c r="F85" s="16"/>
    </row>
    <row r="86" customFormat="false" ht="15" hidden="false" customHeight="false" outlineLevel="0" collapsed="false">
      <c r="B86" s="16"/>
      <c r="C86" s="16"/>
      <c r="D86" s="16"/>
      <c r="E86" s="11" t="str">
        <f aca="false">IF(D86="","",LEN(D86)-LEN(SUBSTITUTE(D86,"#","")))</f>
        <v/>
      </c>
      <c r="F86" s="16"/>
    </row>
    <row r="87" customFormat="false" ht="15" hidden="false" customHeight="false" outlineLevel="0" collapsed="false">
      <c r="B87" s="16"/>
      <c r="C87" s="16"/>
      <c r="D87" s="16"/>
      <c r="E87" s="11" t="str">
        <f aca="false">IF(D87="","",LEN(D87)-LEN(SUBSTITUTE(D87,"#","")))</f>
        <v/>
      </c>
      <c r="F87" s="16"/>
    </row>
    <row r="88" customFormat="false" ht="15" hidden="false" customHeight="false" outlineLevel="0" collapsed="false">
      <c r="B88" s="16"/>
      <c r="C88" s="16"/>
      <c r="D88" s="16"/>
      <c r="E88" s="11" t="str">
        <f aca="false">IF(D88="","",LEN(D88)-LEN(SUBSTITUTE(D88,"#","")))</f>
        <v/>
      </c>
      <c r="F88" s="16"/>
    </row>
    <row r="89" customFormat="false" ht="15" hidden="false" customHeight="false" outlineLevel="0" collapsed="false">
      <c r="B89" s="16"/>
      <c r="C89" s="16"/>
      <c r="D89" s="16"/>
      <c r="E89" s="11" t="str">
        <f aca="false">IF(D89="","",LEN(D89)-LEN(SUBSTITUTE(D89,"#","")))</f>
        <v/>
      </c>
      <c r="F89" s="16"/>
    </row>
    <row r="90" customFormat="false" ht="15" hidden="false" customHeight="false" outlineLevel="0" collapsed="false">
      <c r="B90" s="16"/>
      <c r="C90" s="16"/>
      <c r="D90" s="16"/>
      <c r="E90" s="11" t="str">
        <f aca="false">IF(D90="","",LEN(D90)-LEN(SUBSTITUTE(D90,"#","")))</f>
        <v/>
      </c>
      <c r="F90" s="16"/>
    </row>
    <row r="91" customFormat="false" ht="15" hidden="false" customHeight="false" outlineLevel="0" collapsed="false">
      <c r="B91" s="16"/>
      <c r="C91" s="16"/>
      <c r="D91" s="16"/>
      <c r="E91" s="11" t="str">
        <f aca="false">IF(D91="","",LEN(D91)-LEN(SUBSTITUTE(D91,"#","")))</f>
        <v/>
      </c>
      <c r="F91" s="16"/>
    </row>
    <row r="92" customFormat="false" ht="15" hidden="false" customHeight="false" outlineLevel="0" collapsed="false">
      <c r="B92" s="16"/>
      <c r="C92" s="16"/>
      <c r="D92" s="16"/>
      <c r="E92" s="11" t="str">
        <f aca="false">IF(D92="","",LEN(D92)-LEN(SUBSTITUTE(D92,"#","")))</f>
        <v/>
      </c>
      <c r="F92" s="16"/>
    </row>
    <row r="93" customFormat="false" ht="15" hidden="false" customHeight="false" outlineLevel="0" collapsed="false">
      <c r="B93" s="16"/>
      <c r="C93" s="16"/>
      <c r="D93" s="16"/>
      <c r="E93" s="11" t="str">
        <f aca="false">IF(D93="","",LEN(D93)-LEN(SUBSTITUTE(D93,"#","")))</f>
        <v/>
      </c>
      <c r="F93" s="16"/>
    </row>
    <row r="94" customFormat="false" ht="15" hidden="false" customHeight="false" outlineLevel="0" collapsed="false">
      <c r="B94" s="16"/>
      <c r="C94" s="16"/>
      <c r="D94" s="16"/>
      <c r="E94" s="11" t="str">
        <f aca="false">IF(D94="","",LEN(D94)-LEN(SUBSTITUTE(D94,"#","")))</f>
        <v/>
      </c>
      <c r="F94" s="16"/>
    </row>
    <row r="95" customFormat="false" ht="15" hidden="false" customHeight="false" outlineLevel="0" collapsed="false">
      <c r="B95" s="16"/>
      <c r="C95" s="16"/>
      <c r="D95" s="16"/>
      <c r="E95" s="11" t="str">
        <f aca="false">IF(D95="","",LEN(D95)-LEN(SUBSTITUTE(D95,"#","")))</f>
        <v/>
      </c>
      <c r="F95" s="16"/>
    </row>
    <row r="96" customFormat="false" ht="15" hidden="false" customHeight="false" outlineLevel="0" collapsed="false">
      <c r="B96" s="16"/>
      <c r="C96" s="16"/>
      <c r="D96" s="16"/>
      <c r="E96" s="11" t="str">
        <f aca="false">IF(D96="","",LEN(D96)-LEN(SUBSTITUTE(D96,"#","")))</f>
        <v/>
      </c>
      <c r="F96" s="16"/>
    </row>
    <row r="97" customFormat="false" ht="15" hidden="false" customHeight="false" outlineLevel="0" collapsed="false">
      <c r="B97" s="16"/>
      <c r="C97" s="16"/>
      <c r="D97" s="16"/>
      <c r="E97" s="11" t="str">
        <f aca="false">IF(D97="","",LEN(D97)-LEN(SUBSTITUTE(D97,"#","")))</f>
        <v/>
      </c>
      <c r="F97" s="16"/>
    </row>
    <row r="98" customFormat="false" ht="15" hidden="false" customHeight="false" outlineLevel="0" collapsed="false">
      <c r="B98" s="16"/>
      <c r="C98" s="16"/>
      <c r="D98" s="16"/>
      <c r="E98" s="11" t="str">
        <f aca="false">IF(D98="","",LEN(D98)-LEN(SUBSTITUTE(D98,"#","")))</f>
        <v/>
      </c>
      <c r="F98" s="16"/>
    </row>
    <row r="99" customFormat="false" ht="15" hidden="false" customHeight="false" outlineLevel="0" collapsed="false">
      <c r="B99" s="16"/>
      <c r="C99" s="16"/>
      <c r="D99" s="16"/>
      <c r="E99" s="11" t="str">
        <f aca="false">IF(D99="","",LEN(D99)-LEN(SUBSTITUTE(D99,"#","")))</f>
        <v/>
      </c>
      <c r="F99" s="16"/>
    </row>
    <row r="100" customFormat="false" ht="15" hidden="false" customHeight="false" outlineLevel="0" collapsed="false">
      <c r="B100" s="16"/>
      <c r="C100" s="16"/>
      <c r="D100" s="16"/>
      <c r="E100" s="11" t="str">
        <f aca="false">IF(D100="","",LEN(D100)-LEN(SUBSTITUTE(D100,"#","")))</f>
        <v/>
      </c>
      <c r="F100" s="16"/>
    </row>
    <row r="101" customFormat="false" ht="15" hidden="false" customHeight="false" outlineLevel="0" collapsed="false">
      <c r="B101" s="16"/>
      <c r="C101" s="16"/>
      <c r="D101" s="16"/>
      <c r="E101" s="11" t="str">
        <f aca="false">IF(D101="","",LEN(D101)-LEN(SUBSTITUTE(D101,"#","")))</f>
        <v/>
      </c>
      <c r="F101" s="16"/>
    </row>
    <row r="102" customFormat="false" ht="15" hidden="false" customHeight="false" outlineLevel="0" collapsed="false">
      <c r="B102" s="16"/>
      <c r="C102" s="16"/>
      <c r="D102" s="16"/>
      <c r="E102" s="11" t="str">
        <f aca="false">IF(D102="","",LEN(D102)-LEN(SUBSTITUTE(D102,"#","")))</f>
        <v/>
      </c>
      <c r="F102" s="16"/>
    </row>
    <row r="103" customFormat="false" ht="15" hidden="false" customHeight="false" outlineLevel="0" collapsed="false">
      <c r="B103" s="16"/>
      <c r="C103" s="16"/>
      <c r="D103" s="16"/>
      <c r="E103" s="11" t="str">
        <f aca="false">IF(D103="","",LEN(D103)-LEN(SUBSTITUTE(D103,"#","")))</f>
        <v/>
      </c>
      <c r="F103" s="16"/>
    </row>
    <row r="104" customFormat="false" ht="15" hidden="false" customHeight="false" outlineLevel="0" collapsed="false">
      <c r="B104" s="16"/>
      <c r="C104" s="16"/>
      <c r="D104" s="16"/>
      <c r="E104" s="11" t="str">
        <f aca="false">IF(D104="","",LEN(D104)-LEN(SUBSTITUTE(D104,"#","")))</f>
        <v/>
      </c>
      <c r="F104" s="16"/>
    </row>
  </sheetData>
  <dataValidations count="1">
    <dataValidation allowBlank="true" error="Pick a value from the list (edit the list on the Setup tab)." errorStyle="warning" errorTitle="Not in list" operator="between" showDropDown="false" showErrorMessage="false" showInputMessage="false" sqref="C5:C104" type="list">
      <formula1>Setup!$B$9:$B$18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2026-10-05T15:42:21Z</dcterms:created>
  <dc:creator>openpyxl</dc:creator>
  <dc:description/>
  <dc:language>en-US</dc:language>
  <cp:lastModifiedBy/>
  <dcterms:modified xsi:type="dcterms:W3CDTF">2026-10-05T15:42:25Z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